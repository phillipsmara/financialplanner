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meerk\Downloads\"/>
    </mc:Choice>
  </mc:AlternateContent>
  <xr:revisionPtr revIDLastSave="0" documentId="8_{272696E9-FDD7-43E0-88AE-42277F9925A6}" xr6:coauthVersionLast="47" xr6:coauthVersionMax="47" xr10:uidLastSave="{00000000-0000-0000-0000-000000000000}"/>
  <bookViews>
    <workbookView xWindow="-98" yWindow="-98" windowWidth="21795" windowHeight="13695" xr2:uid="{00000000-000D-0000-FFFF-FFFF00000000}"/>
  </bookViews>
  <sheets>
    <sheet name="Dashboard" sheetId="9" r:id="rId1"/>
    <sheet name="Income" sheetId="1" r:id="rId2"/>
    <sheet name="Expenses" sheetId="10" r:id="rId3"/>
    <sheet name="Goals" sheetId="4" r:id="rId4"/>
    <sheet name="Output Dashboard" sheetId="18" r:id="rId5"/>
    <sheet name="Financial Advice" sheetId="3" r:id="rId6"/>
    <sheet name="Calculations" sheetId="19" state="hidden" r:id="rId7"/>
    <sheet name="Future Projections" sheetId="8" r:id="rId8"/>
    <sheet name="Income Pivot Table" sheetId="15" state="hidden" r:id="rId9"/>
    <sheet name="Expenses Pivot Table" sheetId="17" state="hidden" r:id="rId10"/>
  </sheets>
  <definedNames>
    <definedName name="NativeTimeline_Date">#N/A</definedName>
    <definedName name="NativeTimeline_Date1">#N/A</definedName>
    <definedName name="Slicer_Type">#N/A</definedName>
    <definedName name="Slicer_Type1">#N/A</definedName>
  </definedNames>
  <calcPr calcId="191028"/>
  <pivotCaches>
    <pivotCache cacheId="0" r:id="rId11"/>
    <pivotCache cacheId="6"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5"/>
        <x15:timelineCacheRef r:id="rId16"/>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3" l="1"/>
  <c r="E8" i="19"/>
  <c r="B6" i="19"/>
  <c r="C43" i="18"/>
  <c r="K41" i="18"/>
</calcChain>
</file>

<file path=xl/sharedStrings.xml><?xml version="1.0" encoding="utf-8"?>
<sst xmlns="http://schemas.openxmlformats.org/spreadsheetml/2006/main" count="110" uniqueCount="66">
  <si>
    <t>Date</t>
  </si>
  <si>
    <t>Start Date</t>
  </si>
  <si>
    <t>Financial Advice</t>
  </si>
  <si>
    <t>Expenses</t>
  </si>
  <si>
    <t>FINANCIAL PLANNER</t>
  </si>
  <si>
    <t>Expense</t>
  </si>
  <si>
    <t>Ammount</t>
  </si>
  <si>
    <t>Type</t>
  </si>
  <si>
    <t>Details</t>
  </si>
  <si>
    <t>Income Tracking</t>
  </si>
  <si>
    <t>Financial Goal Progress</t>
  </si>
  <si>
    <t>Financial Goals Progress</t>
  </si>
  <si>
    <t>Output Dashboard</t>
  </si>
  <si>
    <t>Total Expenses</t>
  </si>
  <si>
    <t>Future Projections</t>
  </si>
  <si>
    <t>Dashboard</t>
  </si>
  <si>
    <t>Goal</t>
  </si>
  <si>
    <t>Progress</t>
  </si>
  <si>
    <t>Spending</t>
  </si>
  <si>
    <t>Income</t>
  </si>
  <si>
    <t>Expense Tracking</t>
  </si>
  <si>
    <t>Sum of Ammount</t>
  </si>
  <si>
    <t>(All)</t>
  </si>
  <si>
    <t>Row Labels</t>
  </si>
  <si>
    <t>Grand Total</t>
  </si>
  <si>
    <t>Monthly Income Totals</t>
  </si>
  <si>
    <t xml:space="preserve">Select Date             </t>
  </si>
  <si>
    <t xml:space="preserve">Select Type            </t>
  </si>
  <si>
    <t xml:space="preserve">Total Income </t>
  </si>
  <si>
    <t>Total Salary</t>
  </si>
  <si>
    <t>Total Investment Return</t>
  </si>
  <si>
    <t>Total Gifts</t>
  </si>
  <si>
    <t>Total Other</t>
  </si>
  <si>
    <t>Monthly Expense Totals</t>
  </si>
  <si>
    <t>Other</t>
  </si>
  <si>
    <t>Select Date</t>
  </si>
  <si>
    <t>Total Personal Spending</t>
  </si>
  <si>
    <t>Entertainment</t>
  </si>
  <si>
    <t>Total School Expenses</t>
  </si>
  <si>
    <t>Total Living Expenses</t>
  </si>
  <si>
    <t xml:space="preserve">Total Groceries </t>
  </si>
  <si>
    <t>Selext Type</t>
  </si>
  <si>
    <t>Menu</t>
  </si>
  <si>
    <t>Goals</t>
  </si>
  <si>
    <t>Quick Metrics</t>
  </si>
  <si>
    <t>Dog</t>
  </si>
  <si>
    <t>Oct</t>
  </si>
  <si>
    <t>Car</t>
  </si>
  <si>
    <t>Living Expenses</t>
  </si>
  <si>
    <t>Personal Spending</t>
  </si>
  <si>
    <t>Cat</t>
  </si>
  <si>
    <t>Nov</t>
  </si>
  <si>
    <t>Buy a car</t>
  </si>
  <si>
    <t>Save $500</t>
  </si>
  <si>
    <t>Want to save up $500 over the next 6 months</t>
  </si>
  <si>
    <t>2024-20-12</t>
  </si>
  <si>
    <t>Have $2000 In Savings</t>
  </si>
  <si>
    <t>Want to save up $2000 in savings by taking 10% of my paycheck and putting it towards savings.</t>
  </si>
  <si>
    <t>Total Income</t>
  </si>
  <si>
    <t>Save $5000 for a car</t>
  </si>
  <si>
    <t>Salary</t>
  </si>
  <si>
    <t>Co-op Salary</t>
  </si>
  <si>
    <t>Gift</t>
  </si>
  <si>
    <t>Gifts</t>
  </si>
  <si>
    <t>ROI</t>
  </si>
  <si>
    <t>Investment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</si>
</sst>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quot;$&quot;* #,##0.00_-;_-&quot;$&quot;* &quot;-&quot;??_-;_-@_-"/>
    <numFmt numFmtId="164" formatCode="yyyy\-mm\-dd;@"/>
    <numFmt numFmtId="165" formatCode="&quot;$&quot;#,##0.00"/>
  </numFmts>
  <fonts count="33">
    <font>
      <sz val="11"/>
      <color theme="1"/>
      <name val="Calibri"/>
      <family val="2"/>
      <scheme val="minor"/>
    </font>
    <font>
      <b/>
      <sz val="11"/>
      <color theme="4"/>
      <name val="Franklin Gothic  "/>
    </font>
    <font>
      <b/>
      <sz val="20"/>
      <color theme="0"/>
      <name val="Franklin Gothic  "/>
    </font>
    <font>
      <sz val="11"/>
      <color theme="1"/>
      <name val="Franklin Gothic  "/>
    </font>
    <font>
      <sz val="45"/>
      <color theme="4" tint="0.79998168889431442"/>
      <name val="Franklin Gothic  "/>
    </font>
    <font>
      <i/>
      <sz val="11"/>
      <color theme="1"/>
      <name val="Franklin Gothic  "/>
    </font>
    <font>
      <b/>
      <sz val="14"/>
      <color theme="4"/>
      <name val="Franklin Gothic  "/>
    </font>
    <font>
      <b/>
      <sz val="14"/>
      <color theme="4" tint="-0.249977111117893"/>
      <name val="Franklin Gothic  "/>
    </font>
    <font>
      <b/>
      <sz val="12"/>
      <color theme="1"/>
      <name val="Franklin Gothic  "/>
    </font>
    <font>
      <sz val="12"/>
      <color theme="1"/>
      <name val="Franklin Gothic  "/>
    </font>
    <font>
      <b/>
      <sz val="12"/>
      <color theme="4"/>
      <name val="Franklin Gothic  "/>
    </font>
    <font>
      <i/>
      <sz val="12"/>
      <color theme="1"/>
      <name val="Franklin Gothic  "/>
    </font>
    <font>
      <b/>
      <sz val="12"/>
      <name val="Franklin Gothic  "/>
    </font>
    <font>
      <sz val="12"/>
      <name val="Franklin Gothic  "/>
    </font>
    <font>
      <b/>
      <sz val="18"/>
      <color theme="0"/>
      <name val="Franklin Gothic  "/>
    </font>
    <font>
      <sz val="18"/>
      <color theme="0"/>
      <name val="Calibri"/>
      <family val="2"/>
      <scheme val="minor"/>
    </font>
    <font>
      <b/>
      <sz val="16"/>
      <color theme="1"/>
      <name val="Calibri"/>
      <family val="2"/>
      <scheme val="minor"/>
    </font>
    <font>
      <b/>
      <sz val="18"/>
      <name val="Calibri"/>
      <family val="2"/>
      <scheme val="minor"/>
    </font>
    <font>
      <b/>
      <sz val="18"/>
      <name val="Franklin Gothic "/>
    </font>
    <font>
      <b/>
      <sz val="14"/>
      <color theme="1"/>
      <name val="Franklin Gothic "/>
    </font>
    <font>
      <sz val="14"/>
      <color theme="1"/>
      <name val="Franklin Gothic "/>
    </font>
    <font>
      <sz val="11"/>
      <color theme="1"/>
      <name val="Calibri"/>
      <family val="2"/>
      <scheme val="minor"/>
    </font>
    <font>
      <sz val="11"/>
      <color theme="0"/>
      <name val="Calibri"/>
      <family val="2"/>
      <scheme val="minor"/>
    </font>
    <font>
      <b/>
      <sz val="18"/>
      <color theme="1"/>
      <name val="Calibri"/>
      <family val="2"/>
      <scheme val="minor"/>
    </font>
    <font>
      <b/>
      <sz val="28"/>
      <color theme="1"/>
      <name val="Franklin Gothic Book"/>
      <family val="2"/>
    </font>
    <font>
      <sz val="28"/>
      <color theme="1"/>
      <name val="Franklin Gothic Book"/>
      <family val="2"/>
    </font>
    <font>
      <u/>
      <sz val="11"/>
      <color theme="10"/>
      <name val="Calibri"/>
      <family val="2"/>
      <scheme val="minor"/>
    </font>
    <font>
      <b/>
      <sz val="16"/>
      <color theme="4" tint="-0.249977111117893"/>
      <name val="Franklin Gothic"/>
    </font>
    <font>
      <b/>
      <sz val="14"/>
      <name val="Franklin Gothic  "/>
    </font>
    <font>
      <sz val="11"/>
      <name val="Franklin Gothic  "/>
    </font>
    <font>
      <sz val="11"/>
      <color theme="1"/>
      <name val="Franklin Gothic Book"/>
      <family val="2"/>
    </font>
    <font>
      <b/>
      <sz val="20"/>
      <color theme="1"/>
      <name val="Franklin Gothic Book"/>
      <family val="2"/>
    </font>
    <font>
      <u/>
      <sz val="22"/>
      <name val="Franklin Gothic Book"/>
      <family val="2"/>
    </font>
  </fonts>
  <fills count="7">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s>
  <borders count="31">
    <border>
      <left/>
      <right/>
      <top/>
      <bottom/>
      <diagonal/>
    </border>
    <border>
      <left/>
      <right/>
      <top/>
      <bottom style="thin">
        <color theme="4" tint="-0.499984740745262"/>
      </bottom>
      <diagonal/>
    </border>
    <border>
      <left/>
      <right/>
      <top/>
      <bottom style="thin">
        <color indexed="64"/>
      </bottom>
      <diagonal/>
    </border>
    <border>
      <left style="medium">
        <color theme="4" tint="-0.499984740745262"/>
      </left>
      <right style="thin">
        <color theme="4" tint="-0.499984740745262"/>
      </right>
      <top/>
      <bottom style="medium">
        <color theme="4" tint="-0.499984740745262"/>
      </bottom>
      <diagonal/>
    </border>
    <border>
      <left style="thin">
        <color theme="4" tint="-0.499984740745262"/>
      </left>
      <right style="thin">
        <color theme="4" tint="-0.499984740745262"/>
      </right>
      <top/>
      <bottom style="medium">
        <color theme="4" tint="-0.499984740745262"/>
      </bottom>
      <diagonal/>
    </border>
    <border>
      <left style="thin">
        <color theme="4" tint="-0.499984740745262"/>
      </left>
      <right style="medium">
        <color theme="4" tint="-0.499984740745262"/>
      </right>
      <top/>
      <bottom style="medium">
        <color theme="4" tint="-0.49998474074526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s>
  <cellStyleXfs count="3">
    <xf numFmtId="0" fontId="0" fillId="0" borderId="0"/>
    <xf numFmtId="44" fontId="21" fillId="0" borderId="0" applyFont="0" applyFill="0" applyBorder="0" applyAlignment="0" applyProtection="0"/>
    <xf numFmtId="0" fontId="26" fillId="0" borderId="0" applyNumberFormat="0" applyFill="0" applyBorder="0" applyAlignment="0" applyProtection="0"/>
  </cellStyleXfs>
  <cellXfs count="111">
    <xf numFmtId="0" fontId="0" fillId="0" borderId="0" xfId="0"/>
    <xf numFmtId="0" fontId="0" fillId="2" borderId="0" xfId="0" applyFill="1"/>
    <xf numFmtId="0" fontId="3" fillId="2" borderId="0" xfId="0" applyFont="1" applyFill="1"/>
    <xf numFmtId="0" fontId="1" fillId="2" borderId="0" xfId="0" applyFont="1" applyFill="1" applyAlignment="1">
      <alignment horizontal="center"/>
    </xf>
    <xf numFmtId="0" fontId="5" fillId="2" borderId="1" xfId="0" applyFont="1" applyFill="1" applyBorder="1"/>
    <xf numFmtId="0" fontId="5" fillId="0" borderId="1" xfId="0" applyFont="1" applyBorder="1"/>
    <xf numFmtId="0" fontId="6" fillId="2" borderId="1" xfId="0" applyFont="1" applyFill="1" applyBorder="1"/>
    <xf numFmtId="164" fontId="3" fillId="2" borderId="0" xfId="0" applyNumberFormat="1" applyFont="1" applyFill="1"/>
    <xf numFmtId="0" fontId="3" fillId="2" borderId="2" xfId="0" applyFont="1" applyFill="1" applyBorder="1"/>
    <xf numFmtId="0" fontId="7" fillId="2" borderId="2" xfId="0" applyFont="1" applyFill="1" applyBorder="1"/>
    <xf numFmtId="165" fontId="3" fillId="2" borderId="0" xfId="0" applyNumberFormat="1" applyFont="1" applyFill="1"/>
    <xf numFmtId="0" fontId="6" fillId="2" borderId="1" xfId="0" applyFont="1" applyFill="1" applyBorder="1" applyAlignment="1">
      <alignment horizontal="left"/>
    </xf>
    <xf numFmtId="0" fontId="8" fillId="2" borderId="0" xfId="0" applyFont="1" applyFill="1" applyAlignment="1">
      <alignment horizontal="right"/>
    </xf>
    <xf numFmtId="0" fontId="9" fillId="2" borderId="0" xfId="0" applyFont="1" applyFill="1" applyAlignment="1">
      <alignment horizontal="right"/>
    </xf>
    <xf numFmtId="0" fontId="9" fillId="2" borderId="0" xfId="0" applyFont="1" applyFill="1" applyAlignment="1">
      <alignment horizontal="right" vertical="top"/>
    </xf>
    <xf numFmtId="0" fontId="10" fillId="2" borderId="0" xfId="0" applyFont="1" applyFill="1" applyAlignment="1">
      <alignment horizontal="right"/>
    </xf>
    <xf numFmtId="0" fontId="11" fillId="2" borderId="1" xfId="0" applyFont="1" applyFill="1" applyBorder="1" applyAlignment="1">
      <alignment horizontal="right"/>
    </xf>
    <xf numFmtId="0" fontId="11" fillId="0" borderId="1" xfId="0" applyFont="1" applyBorder="1" applyAlignment="1">
      <alignment horizontal="right"/>
    </xf>
    <xf numFmtId="0" fontId="9" fillId="0" borderId="0" xfId="0" applyFont="1" applyAlignment="1">
      <alignment horizontal="right"/>
    </xf>
    <xf numFmtId="0" fontId="12" fillId="3" borderId="5" xfId="0" applyFont="1" applyFill="1" applyBorder="1" applyAlignment="1">
      <alignment horizontal="center" vertical="center"/>
    </xf>
    <xf numFmtId="0" fontId="12" fillId="3" borderId="3" xfId="0" applyFont="1" applyFill="1" applyBorder="1" applyAlignment="1">
      <alignment horizontal="center" vertical="center"/>
    </xf>
    <xf numFmtId="0" fontId="12" fillId="3" borderId="4" xfId="0" applyFont="1" applyFill="1" applyBorder="1" applyAlignment="1">
      <alignment horizontal="center" vertical="center"/>
    </xf>
    <xf numFmtId="164" fontId="13" fillId="2" borderId="0" xfId="0" applyNumberFormat="1" applyFont="1" applyFill="1" applyAlignment="1">
      <alignment horizontal="right"/>
    </xf>
    <xf numFmtId="0" fontId="13" fillId="2" borderId="0" xfId="0" applyFont="1" applyFill="1" applyAlignment="1">
      <alignment horizontal="right"/>
    </xf>
    <xf numFmtId="165" fontId="13" fillId="2" borderId="0" xfId="0" applyNumberFormat="1" applyFont="1" applyFill="1" applyAlignment="1">
      <alignment horizontal="right"/>
    </xf>
    <xf numFmtId="0" fontId="0" fillId="0" borderId="0" xfId="0" pivotButton="1"/>
    <xf numFmtId="0" fontId="0" fillId="0" borderId="0" xfId="0" applyAlignment="1">
      <alignment horizontal="left"/>
    </xf>
    <xf numFmtId="0" fontId="14" fillId="4" borderId="0" xfId="0" applyFont="1" applyFill="1" applyAlignment="1">
      <alignment horizontal="left"/>
    </xf>
    <xf numFmtId="0" fontId="15" fillId="4" borderId="0" xfId="0" applyFont="1" applyFill="1"/>
    <xf numFmtId="0" fontId="6" fillId="2" borderId="0" xfId="0" applyFont="1" applyFill="1" applyAlignment="1">
      <alignment horizontal="left"/>
    </xf>
    <xf numFmtId="0" fontId="14" fillId="2" borderId="0" xfId="0" applyFont="1" applyFill="1" applyAlignment="1">
      <alignment horizontal="left"/>
    </xf>
    <xf numFmtId="0" fontId="15" fillId="2" borderId="0" xfId="0" applyFont="1" applyFill="1"/>
    <xf numFmtId="0" fontId="19" fillId="2" borderId="0" xfId="0" applyFont="1" applyFill="1"/>
    <xf numFmtId="0" fontId="18" fillId="2" borderId="0" xfId="0" applyFont="1" applyFill="1"/>
    <xf numFmtId="0" fontId="20" fillId="2" borderId="0" xfId="0" applyFont="1" applyFill="1"/>
    <xf numFmtId="165" fontId="20" fillId="3" borderId="11" xfId="1" applyNumberFormat="1" applyFont="1" applyFill="1" applyBorder="1"/>
    <xf numFmtId="165" fontId="20" fillId="3" borderId="9" xfId="1" applyNumberFormat="1" applyFont="1" applyFill="1" applyBorder="1"/>
    <xf numFmtId="0" fontId="17" fillId="5" borderId="6" xfId="0" applyFont="1" applyFill="1" applyBorder="1"/>
    <xf numFmtId="0" fontId="0" fillId="5" borderId="14" xfId="0" applyFill="1" applyBorder="1"/>
    <xf numFmtId="0" fontId="0" fillId="5" borderId="7" xfId="0" applyFill="1" applyBorder="1"/>
    <xf numFmtId="0" fontId="0" fillId="3" borderId="15" xfId="0" applyFill="1" applyBorder="1"/>
    <xf numFmtId="0" fontId="0" fillId="3" borderId="16" xfId="0" applyFill="1" applyBorder="1"/>
    <xf numFmtId="0" fontId="0" fillId="3" borderId="17" xfId="0" applyFill="1" applyBorder="1"/>
    <xf numFmtId="0" fontId="0" fillId="3" borderId="18" xfId="0" applyFill="1" applyBorder="1"/>
    <xf numFmtId="0" fontId="0" fillId="3" borderId="0" xfId="0" applyFill="1"/>
    <xf numFmtId="0" fontId="0" fillId="3" borderId="19" xfId="0" applyFill="1" applyBorder="1"/>
    <xf numFmtId="0" fontId="9" fillId="3" borderId="18" xfId="0" applyFont="1" applyFill="1" applyBorder="1" applyAlignment="1">
      <alignment horizontal="right"/>
    </xf>
    <xf numFmtId="0" fontId="9" fillId="3" borderId="0" xfId="0" applyFont="1" applyFill="1" applyAlignment="1">
      <alignment horizontal="right"/>
    </xf>
    <xf numFmtId="0" fontId="9" fillId="3" borderId="20" xfId="0" applyFont="1" applyFill="1" applyBorder="1" applyAlignment="1">
      <alignment horizontal="right"/>
    </xf>
    <xf numFmtId="0" fontId="9" fillId="3" borderId="21" xfId="0" applyFont="1" applyFill="1" applyBorder="1" applyAlignment="1">
      <alignment horizontal="right"/>
    </xf>
    <xf numFmtId="0" fontId="0" fillId="3" borderId="21" xfId="0" applyFill="1" applyBorder="1"/>
    <xf numFmtId="0" fontId="0" fillId="3" borderId="22" xfId="0" applyFill="1" applyBorder="1"/>
    <xf numFmtId="0" fontId="22" fillId="4" borderId="2" xfId="0" applyFont="1" applyFill="1" applyBorder="1"/>
    <xf numFmtId="0" fontId="22" fillId="4" borderId="0" xfId="0" applyFont="1" applyFill="1"/>
    <xf numFmtId="0" fontId="14" fillId="4" borderId="2" xfId="0" applyFont="1" applyFill="1" applyBorder="1" applyAlignment="1">
      <alignment horizontal="left"/>
    </xf>
    <xf numFmtId="0" fontId="23" fillId="5" borderId="6" xfId="0" applyFont="1" applyFill="1" applyBorder="1"/>
    <xf numFmtId="0" fontId="9" fillId="3" borderId="19" xfId="0" applyFont="1" applyFill="1" applyBorder="1" applyAlignment="1">
      <alignment horizontal="right"/>
    </xf>
    <xf numFmtId="0" fontId="0" fillId="3" borderId="20" xfId="0" applyFill="1" applyBorder="1"/>
    <xf numFmtId="0" fontId="9" fillId="3" borderId="22" xfId="0" applyFont="1" applyFill="1" applyBorder="1" applyAlignment="1">
      <alignment horizontal="right"/>
    </xf>
    <xf numFmtId="165" fontId="20" fillId="3" borderId="23" xfId="0" applyNumberFormat="1" applyFont="1" applyFill="1" applyBorder="1"/>
    <xf numFmtId="0" fontId="19" fillId="3" borderId="8" xfId="0" applyFont="1" applyFill="1" applyBorder="1"/>
    <xf numFmtId="0" fontId="19" fillId="3" borderId="10" xfId="0" applyFont="1" applyFill="1" applyBorder="1"/>
    <xf numFmtId="0" fontId="19" fillId="6" borderId="24" xfId="0" applyFont="1" applyFill="1" applyBorder="1"/>
    <xf numFmtId="165" fontId="19" fillId="6" borderId="22" xfId="0" applyNumberFormat="1" applyFont="1" applyFill="1" applyBorder="1"/>
    <xf numFmtId="0" fontId="19" fillId="6" borderId="12" xfId="0" applyFont="1" applyFill="1" applyBorder="1"/>
    <xf numFmtId="165" fontId="19" fillId="6" borderId="13" xfId="0" applyNumberFormat="1" applyFont="1" applyFill="1" applyBorder="1"/>
    <xf numFmtId="0" fontId="27" fillId="2" borderId="2" xfId="0" applyFont="1" applyFill="1" applyBorder="1"/>
    <xf numFmtId="0" fontId="0" fillId="2" borderId="2" xfId="0" applyFill="1" applyBorder="1"/>
    <xf numFmtId="165" fontId="9" fillId="2" borderId="0" xfId="0" applyNumberFormat="1" applyFont="1" applyFill="1" applyAlignment="1">
      <alignment horizontal="right"/>
    </xf>
    <xf numFmtId="0" fontId="28" fillId="3" borderId="24" xfId="0" applyFont="1" applyFill="1" applyBorder="1" applyAlignment="1">
      <alignment horizontal="center" vertical="center"/>
    </xf>
    <xf numFmtId="0" fontId="28" fillId="3" borderId="25" xfId="0" applyFont="1" applyFill="1" applyBorder="1" applyAlignment="1">
      <alignment horizontal="center" vertical="center"/>
    </xf>
    <xf numFmtId="0" fontId="28" fillId="3" borderId="26" xfId="0" applyFont="1" applyFill="1" applyBorder="1" applyAlignment="1">
      <alignment horizontal="center" vertical="center"/>
    </xf>
    <xf numFmtId="0" fontId="29" fillId="2" borderId="0" xfId="0" applyFont="1" applyFill="1"/>
    <xf numFmtId="9" fontId="3" fillId="2" borderId="0" xfId="0" applyNumberFormat="1" applyFont="1" applyFill="1"/>
    <xf numFmtId="0" fontId="30" fillId="6" borderId="18" xfId="0" applyFont="1" applyFill="1" applyBorder="1"/>
    <xf numFmtId="0" fontId="30" fillId="6" borderId="0" xfId="0" applyFont="1" applyFill="1"/>
    <xf numFmtId="0" fontId="30" fillId="6" borderId="19" xfId="0" applyFont="1" applyFill="1" applyBorder="1"/>
    <xf numFmtId="0" fontId="31" fillId="6" borderId="18" xfId="0" applyFont="1" applyFill="1" applyBorder="1"/>
    <xf numFmtId="0" fontId="32" fillId="6" borderId="0" xfId="2" applyFont="1" applyFill="1" applyBorder="1"/>
    <xf numFmtId="0" fontId="32" fillId="6" borderId="0" xfId="0" applyFont="1" applyFill="1"/>
    <xf numFmtId="0" fontId="30" fillId="6" borderId="20" xfId="0" applyFont="1" applyFill="1" applyBorder="1"/>
    <xf numFmtId="0" fontId="30" fillId="6" borderId="22" xfId="0" applyFont="1" applyFill="1" applyBorder="1"/>
    <xf numFmtId="0" fontId="29" fillId="2" borderId="27" xfId="0" applyFont="1" applyFill="1" applyBorder="1"/>
    <xf numFmtId="0" fontId="29" fillId="2" borderId="28" xfId="0" applyFont="1" applyFill="1" applyBorder="1"/>
    <xf numFmtId="9" fontId="29" fillId="2" borderId="29" xfId="0" applyNumberFormat="1" applyFont="1" applyFill="1" applyBorder="1"/>
    <xf numFmtId="164" fontId="29" fillId="2" borderId="29" xfId="0" applyNumberFormat="1" applyFont="1" applyFill="1" applyBorder="1"/>
    <xf numFmtId="164" fontId="29" fillId="2" borderId="30" xfId="0" applyNumberFormat="1" applyFont="1" applyFill="1" applyBorder="1"/>
    <xf numFmtId="164" fontId="29" fillId="2" borderId="30" xfId="0" applyNumberFormat="1" applyFont="1" applyFill="1" applyBorder="1" applyAlignment="1">
      <alignment horizontal="right"/>
    </xf>
    <xf numFmtId="0" fontId="3" fillId="2" borderId="0" xfId="0" applyFont="1" applyFill="1" applyAlignment="1">
      <alignment horizontal="right"/>
    </xf>
    <xf numFmtId="165" fontId="0" fillId="0" borderId="0" xfId="0" applyNumberFormat="1"/>
    <xf numFmtId="165" fontId="22" fillId="4" borderId="2" xfId="0" applyNumberFormat="1" applyFont="1" applyFill="1" applyBorder="1"/>
    <xf numFmtId="0" fontId="0" fillId="6" borderId="21" xfId="0" applyFill="1" applyBorder="1"/>
    <xf numFmtId="0" fontId="2" fillId="4" borderId="0" xfId="0" applyFont="1" applyFill="1" applyAlignment="1">
      <alignment horizontal="center"/>
    </xf>
    <xf numFmtId="0" fontId="4" fillId="4" borderId="0" xfId="0" applyFont="1" applyFill="1" applyAlignment="1">
      <alignment horizontal="center" vertical="top"/>
    </xf>
    <xf numFmtId="0" fontId="24" fillId="5" borderId="15" xfId="0" applyFont="1" applyFill="1" applyBorder="1" applyAlignment="1">
      <alignment horizontal="left"/>
    </xf>
    <xf numFmtId="0" fontId="25" fillId="5" borderId="16" xfId="0" applyFont="1" applyFill="1" applyBorder="1" applyAlignment="1">
      <alignment horizontal="left"/>
    </xf>
    <xf numFmtId="0" fontId="25" fillId="5" borderId="17" xfId="0" applyFont="1" applyFill="1" applyBorder="1" applyAlignment="1">
      <alignment horizontal="left"/>
    </xf>
    <xf numFmtId="0" fontId="25" fillId="5" borderId="18" xfId="0" applyFont="1" applyFill="1" applyBorder="1" applyAlignment="1">
      <alignment horizontal="left"/>
    </xf>
    <xf numFmtId="0" fontId="25" fillId="5" borderId="0" xfId="0" applyFont="1" applyFill="1" applyAlignment="1">
      <alignment horizontal="left"/>
    </xf>
    <xf numFmtId="0" fontId="25" fillId="5" borderId="19" xfId="0" applyFont="1" applyFill="1" applyBorder="1" applyAlignment="1">
      <alignment horizontal="left"/>
    </xf>
    <xf numFmtId="0" fontId="25" fillId="5" borderId="20" xfId="0" applyFont="1" applyFill="1" applyBorder="1" applyAlignment="1">
      <alignment horizontal="left"/>
    </xf>
    <xf numFmtId="0" fontId="25" fillId="5" borderId="21" xfId="0" applyFont="1" applyFill="1" applyBorder="1" applyAlignment="1">
      <alignment horizontal="left"/>
    </xf>
    <xf numFmtId="0" fontId="25" fillId="5" borderId="22" xfId="0" applyFont="1" applyFill="1" applyBorder="1" applyAlignment="1">
      <alignment horizontal="left"/>
    </xf>
    <xf numFmtId="0" fontId="16" fillId="3" borderId="0" xfId="0" applyFont="1" applyFill="1" applyAlignment="1">
      <alignment horizontal="center"/>
    </xf>
    <xf numFmtId="0" fontId="16" fillId="3" borderId="0" xfId="0" applyFont="1" applyFill="1" applyAlignment="1">
      <alignment horizontal="right"/>
    </xf>
    <xf numFmtId="0" fontId="16" fillId="3" borderId="19" xfId="0" applyFont="1" applyFill="1" applyBorder="1" applyAlignment="1">
      <alignment horizontal="right"/>
    </xf>
    <xf numFmtId="0" fontId="18" fillId="5" borderId="6" xfId="0" applyFont="1" applyFill="1" applyBorder="1" applyAlignment="1">
      <alignment horizontal="left"/>
    </xf>
    <xf numFmtId="0" fontId="18" fillId="5" borderId="7" xfId="0" applyFont="1" applyFill="1" applyBorder="1" applyAlignment="1">
      <alignment horizontal="left"/>
    </xf>
    <xf numFmtId="0" fontId="16" fillId="2" borderId="0" xfId="0" applyFont="1" applyFill="1" applyAlignment="1">
      <alignment horizontal="right"/>
    </xf>
    <xf numFmtId="0" fontId="0" fillId="0" borderId="0" xfId="0" applyNumberFormat="1"/>
    <xf numFmtId="14" fontId="0" fillId="0" borderId="0" xfId="0" applyNumberFormat="1" applyAlignment="1">
      <alignment horizontal="left"/>
    </xf>
  </cellXfs>
  <cellStyles count="3">
    <cellStyle name="Currency" xfId="1" builtinId="4"/>
    <cellStyle name="Hyperlink" xfId="2" builtinId="8"/>
    <cellStyle name="Normal" xfId="0" builtinId="0"/>
  </cellStyles>
  <dxfs count="30">
    <dxf>
      <font>
        <b val="0"/>
        <i val="0"/>
        <strike val="0"/>
        <condense val="0"/>
        <extend val="0"/>
        <outline val="0"/>
        <shadow val="0"/>
        <u val="none"/>
        <vertAlign val="baseline"/>
        <sz val="11"/>
        <color auto="1"/>
        <name val="Franklin Gothic  "/>
        <scheme val="none"/>
      </font>
      <fill>
        <patternFill patternType="solid">
          <fgColor indexed="64"/>
          <bgColor theme="0"/>
        </patternFill>
      </fill>
      <border diagonalUp="0" diagonalDown="0">
        <left style="thin">
          <color indexed="64"/>
        </left>
        <right/>
        <top/>
        <bottom/>
        <vertical/>
        <horizontal/>
      </border>
    </dxf>
    <dxf>
      <font>
        <b val="0"/>
        <i val="0"/>
        <strike val="0"/>
        <condense val="0"/>
        <extend val="0"/>
        <outline val="0"/>
        <shadow val="0"/>
        <u val="none"/>
        <vertAlign val="baseline"/>
        <sz val="11"/>
        <color auto="1"/>
        <name val="Franklin Gothic  "/>
        <scheme val="none"/>
      </font>
      <fill>
        <patternFill patternType="solid">
          <fgColor indexed="64"/>
          <bgColor theme="0"/>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Franklin Gothic  "/>
        <scheme val="none"/>
      </font>
      <numFmt numFmtId="164" formatCode="yyyy\-mm\-dd;@"/>
      <fill>
        <patternFill patternType="solid">
          <fgColor indexed="64"/>
          <bgColor theme="0"/>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Franklin Gothic  "/>
        <scheme val="none"/>
      </font>
      <fill>
        <patternFill patternType="solid">
          <fgColor indexed="64"/>
          <bgColor theme="0"/>
        </patternFill>
      </fill>
    </dxf>
    <dxf>
      <border outline="0">
        <top style="medium">
          <color indexed="64"/>
        </top>
      </border>
    </dxf>
    <dxf>
      <font>
        <b val="0"/>
        <i val="0"/>
        <strike val="0"/>
        <condense val="0"/>
        <extend val="0"/>
        <outline val="0"/>
        <shadow val="0"/>
        <u val="none"/>
        <vertAlign val="baseline"/>
        <sz val="11"/>
        <color auto="1"/>
        <name val="Franklin Gothic  "/>
        <scheme val="none"/>
      </font>
      <fill>
        <patternFill patternType="solid">
          <fgColor indexed="64"/>
          <bgColor theme="0"/>
        </patternFill>
      </fill>
    </dxf>
    <dxf>
      <border outline="0">
        <bottom style="medium">
          <color indexed="64"/>
        </bottom>
      </border>
    </dxf>
    <dxf>
      <font>
        <b/>
        <i val="0"/>
        <strike val="0"/>
        <condense val="0"/>
        <extend val="0"/>
        <outline val="0"/>
        <shadow val="0"/>
        <u val="none"/>
        <vertAlign val="baseline"/>
        <sz val="14"/>
        <color auto="1"/>
        <name val="Franklin Gothic  "/>
        <scheme val="none"/>
      </font>
      <fill>
        <patternFill patternType="solid">
          <fgColor indexed="64"/>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Franklin Gothic  "/>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2"/>
        <color auto="1"/>
        <name val="Franklin Gothic  "/>
        <scheme val="none"/>
      </font>
      <numFmt numFmtId="165" formatCode="&quot;$&quot;#,##0.0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2"/>
        <color auto="1"/>
        <name val="Franklin Gothic  "/>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2"/>
        <color auto="1"/>
        <name val="Franklin Gothic  "/>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2"/>
        <color auto="1"/>
        <name val="Franklin Gothic  "/>
        <scheme val="none"/>
      </font>
      <numFmt numFmtId="164" formatCode="yyyy\-mm\-dd;@"/>
      <fill>
        <patternFill patternType="solid">
          <fgColor indexed="64"/>
          <bgColor theme="0"/>
        </patternFill>
      </fill>
      <alignment horizontal="right" vertical="bottom" textRotation="0" wrapText="0" indent="0" justifyLastLine="0" shrinkToFit="0" readingOrder="0"/>
    </dxf>
    <dxf>
      <border outline="0">
        <top style="medium">
          <color theme="4" tint="-0.499984740745262"/>
        </top>
      </border>
    </dxf>
    <dxf>
      <font>
        <b val="0"/>
        <i val="0"/>
        <strike val="0"/>
        <condense val="0"/>
        <extend val="0"/>
        <outline val="0"/>
        <shadow val="0"/>
        <u val="none"/>
        <vertAlign val="baseline"/>
        <sz val="12"/>
        <color auto="1"/>
        <name val="Franklin Gothic  "/>
        <scheme val="none"/>
      </font>
      <fill>
        <patternFill patternType="solid">
          <fgColor indexed="64"/>
          <bgColor theme="0"/>
        </patternFill>
      </fill>
      <alignment horizontal="right" vertical="bottom" textRotation="0" wrapText="0" indent="0" justifyLastLine="0" shrinkToFit="0" readingOrder="0"/>
    </dxf>
    <dxf>
      <border outline="0">
        <bottom style="medium">
          <color theme="4" tint="-0.499984740745262"/>
        </bottom>
      </border>
    </dxf>
    <dxf>
      <font>
        <b/>
        <i val="0"/>
        <strike val="0"/>
        <condense val="0"/>
        <extend val="0"/>
        <outline val="0"/>
        <shadow val="0"/>
        <u val="none"/>
        <vertAlign val="baseline"/>
        <sz val="12"/>
        <color auto="1"/>
        <name val="Franklin Gothic  "/>
        <scheme val="none"/>
      </font>
      <fill>
        <patternFill patternType="solid">
          <fgColor indexed="64"/>
          <bgColor theme="4" tint="0.79998168889431442"/>
        </patternFill>
      </fill>
      <alignment horizontal="center" vertical="center" textRotation="0" wrapText="0" indent="0" justifyLastLine="0" shrinkToFit="0" readingOrder="0"/>
      <border diagonalUp="0" diagonalDown="0" outline="0">
        <left style="thin">
          <color theme="4" tint="-0.499984740745262"/>
        </left>
        <right style="thin">
          <color theme="4" tint="-0.499984740745262"/>
        </right>
        <top/>
        <bottom/>
      </border>
    </dxf>
    <dxf>
      <font>
        <b val="0"/>
        <i val="0"/>
        <strike val="0"/>
        <condense val="0"/>
        <extend val="0"/>
        <outline val="0"/>
        <shadow val="0"/>
        <u val="none"/>
        <vertAlign val="baseline"/>
        <sz val="11"/>
        <color theme="1"/>
        <name val="Franklin Gothic  "/>
        <scheme val="none"/>
      </font>
      <fill>
        <patternFill patternType="solid">
          <fgColor indexed="64"/>
          <bgColor theme="0"/>
        </patternFill>
      </fill>
    </dxf>
    <dxf>
      <font>
        <b val="0"/>
        <i val="0"/>
        <strike val="0"/>
        <condense val="0"/>
        <extend val="0"/>
        <outline val="0"/>
        <shadow val="0"/>
        <u val="none"/>
        <vertAlign val="baseline"/>
        <sz val="11"/>
        <color theme="1"/>
        <name val="Franklin Gothic  "/>
        <scheme val="none"/>
      </font>
      <numFmt numFmtId="165" formatCode="&quot;$&quot;#,##0.00"/>
      <fill>
        <patternFill patternType="solid">
          <fgColor indexed="64"/>
          <bgColor theme="0"/>
        </patternFill>
      </fill>
    </dxf>
    <dxf>
      <font>
        <b val="0"/>
        <i val="0"/>
        <strike val="0"/>
        <condense val="0"/>
        <extend val="0"/>
        <outline val="0"/>
        <shadow val="0"/>
        <u val="none"/>
        <vertAlign val="baseline"/>
        <sz val="11"/>
        <color theme="1"/>
        <name val="Franklin Gothic  "/>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Franklin Gothic  "/>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Franklin Gothic  "/>
        <scheme val="none"/>
      </font>
      <numFmt numFmtId="164" formatCode="yyyy\-mm\-dd;@"/>
      <fill>
        <patternFill patternType="solid">
          <fgColor indexed="64"/>
          <bgColor theme="0"/>
        </patternFill>
      </fill>
    </dxf>
    <dxf>
      <border outline="0">
        <top style="medium">
          <color theme="4" tint="-0.499984740745262"/>
        </top>
      </border>
    </dxf>
    <dxf>
      <font>
        <b val="0"/>
        <i val="0"/>
        <strike val="0"/>
        <condense val="0"/>
        <extend val="0"/>
        <outline val="0"/>
        <shadow val="0"/>
        <u val="none"/>
        <vertAlign val="baseline"/>
        <sz val="11"/>
        <color theme="1"/>
        <name val="Franklin Gothic  "/>
        <scheme val="none"/>
      </font>
      <fill>
        <patternFill patternType="solid">
          <fgColor indexed="64"/>
          <bgColor theme="0"/>
        </patternFill>
      </fill>
    </dxf>
    <dxf>
      <border outline="0">
        <bottom style="medium">
          <color theme="4" tint="-0.499984740745262"/>
        </bottom>
      </border>
    </dxf>
    <dxf>
      <font>
        <b/>
        <i val="0"/>
        <strike val="0"/>
        <condense val="0"/>
        <extend val="0"/>
        <outline val="0"/>
        <shadow val="0"/>
        <u val="none"/>
        <vertAlign val="baseline"/>
        <sz val="12"/>
        <color theme="1"/>
        <name val="Franklin Gothic  "/>
        <scheme val="none"/>
      </font>
      <fill>
        <patternFill patternType="solid">
          <fgColor indexed="64"/>
          <bgColor theme="4" tint="0.79998168889431442"/>
        </patternFill>
      </fill>
      <alignment horizontal="center" vertical="center" textRotation="0" wrapText="0" indent="0" justifyLastLine="0" shrinkToFit="0" readingOrder="0"/>
      <border diagonalUp="0" diagonalDown="0" outline="0">
        <left style="thin">
          <color theme="4" tint="-0.499984740745262"/>
        </left>
        <right style="thin">
          <color theme="4" tint="-0.499984740745262"/>
        </right>
        <top/>
        <bottom/>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font>
        <sz val="12"/>
      </font>
    </dxf>
    <dxf>
      <font>
        <name val="franklin"/>
      </font>
    </dxf>
  </dxfs>
  <tableStyles count="3" defaultTableStyle="TableStyleMedium2" defaultPivotStyle="PivotStyleMedium9">
    <tableStyle name="Slicer Style 1" pivot="0" table="0" count="5" xr9:uid="{62A30FF9-172C-4003-A498-F329C7BF62B6}">
      <tableStyleElement type="headerRow" dxfId="29"/>
    </tableStyle>
    <tableStyle name="Slicer Style 2" pivot="0" table="0" count="1" xr9:uid="{F3CE4F83-E083-4F66-B391-24A6DD0ED198}">
      <tableStyleElement type="headerRow" dxfId="28"/>
    </tableStyle>
    <tableStyle name="SlicerStyleDark1 2" pivot="0" table="0" count="10" xr9:uid="{29E02228-3E22-4114-A2C0-397B9DD08733}">
      <tableStyleElement type="wholeTable" dxfId="27"/>
      <tableStyleElement type="headerRow" dxfId="26"/>
    </tableStyle>
  </tableStyles>
  <colors>
    <mruColors>
      <color rgb="FFF5D971"/>
      <color rgb="FF666699"/>
      <color rgb="FFFF7C80"/>
      <color rgb="FF66CCFF"/>
      <color rgb="FFD86666"/>
      <color rgb="FFFF9900"/>
      <color rgb="FF9966FF"/>
      <color rgb="FF6666FF"/>
      <color rgb="FF3366CC"/>
      <color rgb="FF660066"/>
    </mruColors>
  </colors>
  <extLst>
    <ext xmlns:x14="http://schemas.microsoft.com/office/spreadsheetml/2009/9/main" uri="{46F421CA-312F-682f-3DD2-61675219B42D}">
      <x14:dxfs count="12">
        <dxf>
          <font>
            <sz val="12"/>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2"/>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2"/>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sz val="12"/>
            <color auto="1"/>
          </font>
          <fill>
            <patternFill patternType="solid">
              <fgColor theme="4"/>
              <bgColor theme="4"/>
            </patternFill>
          </fill>
          <border>
            <left style="thin">
              <color theme="4"/>
            </left>
            <right style="thin">
              <color theme="4"/>
            </right>
            <top style="thin">
              <color theme="4"/>
            </top>
            <bottom style="thin">
              <color theme="4"/>
            </bottom>
            <vertical/>
            <horizontal/>
          </border>
        </dxf>
        <dxf>
          <font>
            <sz val="12"/>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sz val="12"/>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auto="1"/>
          </font>
        </dxf>
        <dxf>
          <font>
            <color auto="1"/>
          </font>
        </dxf>
        <dxf>
          <font>
            <color auto="1"/>
          </font>
        </dxf>
        <dxf>
          <font>
            <color auto="1"/>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1"/>
            <x14:slicerStyleElement type="unselectedItemWithNoData" dxfId="10"/>
            <x14:slicerStyleElement type="selectedItemWithData" dxfId="9"/>
            <x14:slicerStyleElement type="selectedItemWithNoData" dxfId="8"/>
          </x14:slicerStyleElements>
        </x14:slicerStyle>
        <x14:slicerStyle name="Slicer Style 2"/>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microsoft.com/office/2011/relationships/timelineCache" Target="timelineCaches/timelineCache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11/relationships/timelineCache" Target="timelineCaches/timelineCache1.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Franklin Gothic Book" panose="020B0503020102020204" pitchFamily="34" charset="0"/>
                <a:ea typeface="+mn-ea"/>
                <a:cs typeface="+mn-cs"/>
              </a:defRPr>
            </a:pPr>
            <a:r>
              <a:rPr lang="en-CA" sz="1800" b="1">
                <a:solidFill>
                  <a:sysClr val="windowText" lastClr="000000"/>
                </a:solidFill>
                <a:latin typeface="Franklin Gothic Book" panose="020B0503020102020204" pitchFamily="34" charset="0"/>
              </a:rPr>
              <a:t>Expense</a:t>
            </a:r>
            <a:r>
              <a:rPr lang="en-CA" sz="1800" b="1" baseline="0">
                <a:solidFill>
                  <a:sysClr val="windowText" lastClr="000000"/>
                </a:solidFill>
                <a:latin typeface="Franklin Gothic Book" panose="020B0503020102020204" pitchFamily="34" charset="0"/>
              </a:rPr>
              <a:t> Breakdown</a:t>
            </a:r>
            <a:endParaRPr lang="en-CA" sz="1800" b="1">
              <a:solidFill>
                <a:sysClr val="windowText" lastClr="000000"/>
              </a:solidFill>
              <a:latin typeface="Franklin Gothic Book" panose="020B0503020102020204" pitchFamily="34"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Franklin Gothic Book" panose="020B0503020102020204" pitchFamily="34" charset="0"/>
              <a:ea typeface="+mn-ea"/>
              <a:cs typeface="+mn-cs"/>
            </a:defRPr>
          </a:pPr>
          <a:endParaRPr lang="en-CA"/>
        </a:p>
      </c:txPr>
    </c:title>
    <c:autoTitleDeleted val="0"/>
    <c:plotArea>
      <c:layout/>
      <c:pieChart>
        <c:varyColors val="1"/>
        <c:ser>
          <c:idx val="0"/>
          <c:order val="0"/>
          <c:spPr>
            <a:solidFill>
              <a:srgbClr val="66CCFF"/>
            </a:solidFill>
          </c:spPr>
          <c:dPt>
            <c:idx val="0"/>
            <c:bubble3D val="0"/>
            <c:spPr>
              <a:solidFill>
                <a:srgbClr val="D86666"/>
              </a:solidFill>
              <a:ln w="19050">
                <a:solidFill>
                  <a:schemeClr val="lt1"/>
                </a:solidFill>
              </a:ln>
              <a:effectLst/>
            </c:spPr>
            <c:extLst>
              <c:ext xmlns:c16="http://schemas.microsoft.com/office/drawing/2014/chart" uri="{C3380CC4-5D6E-409C-BE32-E72D297353CC}">
                <c16:uniqueId val="{00000001-94F6-4BAF-B320-CC63D18F7A91}"/>
              </c:ext>
            </c:extLst>
          </c:dPt>
          <c:dPt>
            <c:idx val="1"/>
            <c:bubble3D val="0"/>
            <c:spPr>
              <a:solidFill>
                <a:srgbClr val="3366CC"/>
              </a:solidFill>
              <a:ln w="19050">
                <a:solidFill>
                  <a:schemeClr val="lt1"/>
                </a:solidFill>
              </a:ln>
              <a:effectLst/>
            </c:spPr>
            <c:extLst>
              <c:ext xmlns:c16="http://schemas.microsoft.com/office/drawing/2014/chart" uri="{C3380CC4-5D6E-409C-BE32-E72D297353CC}">
                <c16:uniqueId val="{00000003-94F6-4BAF-B320-CC63D18F7A91}"/>
              </c:ext>
            </c:extLst>
          </c:dPt>
          <c:dPt>
            <c:idx val="2"/>
            <c:bubble3D val="0"/>
            <c:spPr>
              <a:solidFill>
                <a:srgbClr val="9966FF"/>
              </a:solidFill>
              <a:ln w="19050">
                <a:solidFill>
                  <a:schemeClr val="lt1"/>
                </a:solidFill>
              </a:ln>
              <a:effectLst/>
            </c:spPr>
            <c:extLst>
              <c:ext xmlns:c16="http://schemas.microsoft.com/office/drawing/2014/chart" uri="{C3380CC4-5D6E-409C-BE32-E72D297353CC}">
                <c16:uniqueId val="{00000005-94F6-4BAF-B320-CC63D18F7A91}"/>
              </c:ext>
            </c:extLst>
          </c:dPt>
          <c:dPt>
            <c:idx val="3"/>
            <c:bubble3D val="0"/>
            <c:spPr>
              <a:solidFill>
                <a:srgbClr val="660066"/>
              </a:solidFill>
              <a:ln w="19050">
                <a:solidFill>
                  <a:schemeClr val="lt1"/>
                </a:solidFill>
              </a:ln>
              <a:effectLst/>
            </c:spPr>
            <c:extLst>
              <c:ext xmlns:c16="http://schemas.microsoft.com/office/drawing/2014/chart" uri="{C3380CC4-5D6E-409C-BE32-E72D297353CC}">
                <c16:uniqueId val="{00000007-94F6-4BAF-B320-CC63D18F7A91}"/>
              </c:ext>
            </c:extLst>
          </c:dPt>
          <c:dPt>
            <c:idx val="4"/>
            <c:bubble3D val="0"/>
            <c:spPr>
              <a:solidFill>
                <a:srgbClr val="66CCFF"/>
              </a:solidFill>
              <a:ln w="19050">
                <a:solidFill>
                  <a:schemeClr val="lt1"/>
                </a:solidFill>
              </a:ln>
              <a:effectLst/>
            </c:spPr>
            <c:extLst>
              <c:ext xmlns:c16="http://schemas.microsoft.com/office/drawing/2014/chart" uri="{C3380CC4-5D6E-409C-BE32-E72D297353CC}">
                <c16:uniqueId val="{00000009-94F6-4BAF-B320-CC63D18F7A91}"/>
              </c:ext>
            </c:extLst>
          </c:dPt>
          <c:dPt>
            <c:idx val="5"/>
            <c:bubble3D val="0"/>
            <c:spPr>
              <a:solidFill>
                <a:srgbClr val="F5D971"/>
              </a:solidFill>
              <a:ln w="19050">
                <a:solidFill>
                  <a:schemeClr val="lt1"/>
                </a:solidFill>
              </a:ln>
              <a:effectLst/>
            </c:spPr>
            <c:extLst>
              <c:ext xmlns:c16="http://schemas.microsoft.com/office/drawing/2014/chart" uri="{C3380CC4-5D6E-409C-BE32-E72D297353CC}">
                <c16:uniqueId val="{0000000B-94F6-4BAF-B320-CC63D18F7A91}"/>
              </c:ext>
            </c:extLst>
          </c:dPt>
          <c:cat>
            <c:strRef>
              <c:f>'Output Dashboard'!$B$37:$B$42</c:f>
              <c:strCache>
                <c:ptCount val="6"/>
                <c:pt idx="0">
                  <c:v>Total Personal Spending</c:v>
                </c:pt>
                <c:pt idx="1">
                  <c:v>Total School Expenses</c:v>
                </c:pt>
                <c:pt idx="2">
                  <c:v>Total Living Expenses</c:v>
                </c:pt>
                <c:pt idx="3">
                  <c:v>Total Groceries </c:v>
                </c:pt>
                <c:pt idx="4">
                  <c:v>Entertainment</c:v>
                </c:pt>
                <c:pt idx="5">
                  <c:v>Other</c:v>
                </c:pt>
              </c:strCache>
            </c:strRef>
          </c:cat>
          <c:val>
            <c:numRef>
              <c:f>'Output Dashboard'!$C$37:$C$42</c:f>
              <c:numCache>
                <c:formatCode>"$"#,##0.00</c:formatCode>
                <c:ptCount val="6"/>
                <c:pt idx="0">
                  <c:v>350</c:v>
                </c:pt>
                <c:pt idx="1">
                  <c:v>0</c:v>
                </c:pt>
                <c:pt idx="2">
                  <c:v>1000</c:v>
                </c:pt>
                <c:pt idx="3">
                  <c:v>0</c:v>
                </c:pt>
                <c:pt idx="4">
                  <c:v>0</c:v>
                </c:pt>
                <c:pt idx="5">
                  <c:v>0</c:v>
                </c:pt>
              </c:numCache>
            </c:numRef>
          </c:val>
          <c:extLst>
            <c:ext xmlns:c16="http://schemas.microsoft.com/office/drawing/2014/chart" uri="{C3380CC4-5D6E-409C-BE32-E72D297353CC}">
              <c16:uniqueId val="{0000000C-94F6-4BAF-B320-CC63D18F7A9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Franklin Gothic Book" panose="020B0503020102020204" pitchFamily="34" charset="0"/>
              <a:ea typeface="+mn-ea"/>
              <a:cs typeface="+mn-cs"/>
            </a:defRPr>
          </a:pPr>
          <a:endParaRPr lang="en-US"/>
        </a:p>
      </c:txPr>
    </c:legend>
    <c:plotVisOnly val="1"/>
    <c:dispBlanksAs val="gap"/>
    <c:showDLblsOverMax val="0"/>
  </c:chart>
  <c:spPr>
    <a:solidFill>
      <a:schemeClr val="bg1"/>
    </a:solidFill>
    <a:ln w="381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Franklin Gothic Book" panose="020B0503020102020204" pitchFamily="34" charset="0"/>
                <a:ea typeface="+mn-ea"/>
                <a:cs typeface="+mn-cs"/>
              </a:defRPr>
            </a:pPr>
            <a:r>
              <a:rPr lang="en-CA" sz="1800" b="1">
                <a:solidFill>
                  <a:sysClr val="windowText" lastClr="000000"/>
                </a:solidFill>
                <a:latin typeface="Franklin Gothic Book" panose="020B0503020102020204" pitchFamily="34" charset="0"/>
              </a:rPr>
              <a:t>Income Breakdown</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Franklin Gothic Book" panose="020B0503020102020204" pitchFamily="34" charset="0"/>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9C7-4D95-A08B-623CEA786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9C7-4D95-A08B-623CEA786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9C7-4D95-A08B-623CEA786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9C7-4D95-A08B-623CEA786976}"/>
              </c:ext>
            </c:extLst>
          </c:dPt>
          <c:cat>
            <c:strRef>
              <c:f>'Output Dashboard'!$J$37:$J$40</c:f>
              <c:strCache>
                <c:ptCount val="4"/>
                <c:pt idx="0">
                  <c:v>Total Gifts</c:v>
                </c:pt>
                <c:pt idx="1">
                  <c:v>Total Salary</c:v>
                </c:pt>
                <c:pt idx="2">
                  <c:v>Total Investment Return</c:v>
                </c:pt>
                <c:pt idx="3">
                  <c:v>Total Other</c:v>
                </c:pt>
              </c:strCache>
            </c:strRef>
          </c:cat>
          <c:val>
            <c:numRef>
              <c:f>'Output Dashboard'!$K$37:$K$40</c:f>
              <c:numCache>
                <c:formatCode>"$"#,##0.00</c:formatCode>
                <c:ptCount val="4"/>
                <c:pt idx="0">
                  <c:v>200</c:v>
                </c:pt>
                <c:pt idx="1">
                  <c:v>6000</c:v>
                </c:pt>
                <c:pt idx="2">
                  <c:v>1500</c:v>
                </c:pt>
                <c:pt idx="3">
                  <c:v>0</c:v>
                </c:pt>
              </c:numCache>
            </c:numRef>
          </c:val>
          <c:extLst>
            <c:ext xmlns:c16="http://schemas.microsoft.com/office/drawing/2014/chart" uri="{C3380CC4-5D6E-409C-BE32-E72D297353CC}">
              <c16:uniqueId val="{00000008-69C7-4D95-A08B-623CEA78697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381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ysClr val="windowText" lastClr="000000"/>
                </a:solidFill>
                <a:latin typeface="Franklin Gothic Book" panose="020B0503020102020204" pitchFamily="34" charset="0"/>
                <a:ea typeface="+mj-ea"/>
                <a:cs typeface="+mj-cs"/>
              </a:defRPr>
            </a:pPr>
            <a:r>
              <a:rPr lang="en-CA">
                <a:solidFill>
                  <a:sysClr val="windowText" lastClr="000000"/>
                </a:solidFill>
              </a:rPr>
              <a:t>Expense vs Income</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ysClr val="windowText" lastClr="000000"/>
              </a:solidFill>
              <a:latin typeface="Franklin Gothic Book" panose="020B0503020102020204" pitchFamily="34" charset="0"/>
              <a:ea typeface="+mj-ea"/>
              <a:cs typeface="+mj-cs"/>
            </a:defRPr>
          </a:pPr>
          <a:endParaRPr lang="en-US"/>
        </a:p>
      </c:txPr>
    </c:title>
    <c:autoTitleDeleted val="0"/>
    <c:plotArea>
      <c:layout/>
      <c:barChart>
        <c:barDir val="col"/>
        <c:grouping val="clustered"/>
        <c:varyColors val="0"/>
        <c:ser>
          <c:idx val="0"/>
          <c:order val="0"/>
          <c:tx>
            <c:strRef>
              <c:f>Calculations!$A$6</c:f>
              <c:strCache>
                <c:ptCount val="1"/>
                <c:pt idx="0">
                  <c:v>Total Income</c:v>
                </c:pt>
              </c:strCache>
            </c:strRef>
          </c:tx>
          <c:spPr>
            <a:solidFill>
              <a:schemeClr val="accent2"/>
            </a:solidFill>
            <a:ln>
              <a:noFill/>
            </a:ln>
            <a:effectLst/>
          </c:spPr>
          <c:invertIfNegative val="0"/>
          <c:val>
            <c:numRef>
              <c:f>Calculations!$B$6</c:f>
              <c:numCache>
                <c:formatCode>"$"#,##0.00</c:formatCode>
                <c:ptCount val="1"/>
                <c:pt idx="0">
                  <c:v>7700</c:v>
                </c:pt>
              </c:numCache>
            </c:numRef>
          </c:val>
          <c:extLst>
            <c:ext xmlns:c16="http://schemas.microsoft.com/office/drawing/2014/chart" uri="{C3380CC4-5D6E-409C-BE32-E72D297353CC}">
              <c16:uniqueId val="{00000000-93DF-490D-A48B-219F4F05128F}"/>
            </c:ext>
          </c:extLst>
        </c:ser>
        <c:ser>
          <c:idx val="1"/>
          <c:order val="1"/>
          <c:tx>
            <c:strRef>
              <c:f>Calculations!$D$8</c:f>
              <c:strCache>
                <c:ptCount val="1"/>
                <c:pt idx="0">
                  <c:v>Total Expenses</c:v>
                </c:pt>
              </c:strCache>
            </c:strRef>
          </c:tx>
          <c:spPr>
            <a:solidFill>
              <a:schemeClr val="accent4"/>
            </a:solidFill>
            <a:ln>
              <a:noFill/>
            </a:ln>
            <a:effectLst/>
          </c:spPr>
          <c:invertIfNegative val="0"/>
          <c:val>
            <c:numRef>
              <c:f>Calculations!$E$8</c:f>
              <c:numCache>
                <c:formatCode>"$"#,##0.00</c:formatCode>
                <c:ptCount val="1"/>
                <c:pt idx="0">
                  <c:v>1350</c:v>
                </c:pt>
              </c:numCache>
            </c:numRef>
          </c:val>
          <c:extLst>
            <c:ext xmlns:c16="http://schemas.microsoft.com/office/drawing/2014/chart" uri="{C3380CC4-5D6E-409C-BE32-E72D297353CC}">
              <c16:uniqueId val="{00000001-93DF-490D-A48B-219F4F05128F}"/>
            </c:ext>
          </c:extLst>
        </c:ser>
        <c:dLbls>
          <c:showLegendKey val="0"/>
          <c:showVal val="0"/>
          <c:showCatName val="0"/>
          <c:showSerName val="0"/>
          <c:showPercent val="0"/>
          <c:showBubbleSize val="0"/>
        </c:dLbls>
        <c:gapWidth val="267"/>
        <c:overlap val="-43"/>
        <c:axId val="178356079"/>
        <c:axId val="178355599"/>
      </c:barChart>
      <c:catAx>
        <c:axId val="178356079"/>
        <c:scaling>
          <c:orientation val="minMax"/>
        </c:scaling>
        <c:delete val="1"/>
        <c:axPos val="b"/>
        <c:majorGridlines>
          <c:spPr>
            <a:ln w="9525" cap="flat" cmpd="sng" algn="ctr">
              <a:solidFill>
                <a:schemeClr val="dk1">
                  <a:lumMod val="15000"/>
                  <a:lumOff val="85000"/>
                </a:schemeClr>
              </a:solidFill>
              <a:round/>
            </a:ln>
            <a:effectLst/>
          </c:spPr>
        </c:majorGridlines>
        <c:majorTickMark val="none"/>
        <c:minorTickMark val="none"/>
        <c:tickLblPos val="nextTo"/>
        <c:crossAx val="178355599"/>
        <c:crosses val="autoZero"/>
        <c:auto val="1"/>
        <c:lblAlgn val="ctr"/>
        <c:lblOffset val="100"/>
        <c:noMultiLvlLbl val="0"/>
      </c:catAx>
      <c:valAx>
        <c:axId val="178355599"/>
        <c:scaling>
          <c:orientation val="minMax"/>
        </c:scaling>
        <c:delete val="0"/>
        <c:axPos val="l"/>
        <c:majorGridlines>
          <c:spPr>
            <a:ln w="9525" cap="flat" cmpd="sng" algn="ctr">
              <a:solidFill>
                <a:schemeClr val="dk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Franklin Gothic Book" panose="020B0503020102020204" pitchFamily="34" charset="0"/>
                <a:ea typeface="+mn-ea"/>
                <a:cs typeface="+mn-cs"/>
              </a:defRPr>
            </a:pPr>
            <a:endParaRPr lang="en-US"/>
          </a:p>
        </c:txPr>
        <c:crossAx val="178356079"/>
        <c:crosses val="autoZero"/>
        <c:crossBetween val="between"/>
      </c:val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Franklin Gothic Book" panose="020B05030201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38100" cap="flat" cmpd="sng" algn="ctr">
      <a:solidFill>
        <a:schemeClr val="accent1">
          <a:lumMod val="75000"/>
        </a:schemeClr>
      </a:solidFill>
      <a:round/>
    </a:ln>
    <a:effectLst/>
  </c:spPr>
  <c:txPr>
    <a:bodyPr/>
    <a:lstStyle/>
    <a:p>
      <a:pPr>
        <a:defRPr>
          <a:latin typeface="Franklin Gothic Book" panose="020B05030201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[Prototype.xlsm]Income Pivot Table!IncomePivot</c:name>
    <c:fmtId val="10"/>
  </c:pivotSource>
  <c:chart>
    <c:title>
      <c:tx>
        <c:rich>
          <a:bodyPr rot="0" spcFirstLastPara="1" vertOverflow="ellipsis" vert="horz" wrap="square" anchor="ctr" anchorCtr="1"/>
          <a:lstStyle/>
          <a:p>
            <a:pPr>
              <a:defRPr sz="2400" b="1" i="0" u="none" strike="noStrike" kern="1200" cap="none" spc="0" normalizeH="0" baseline="0">
                <a:solidFill>
                  <a:sysClr val="windowText" lastClr="000000"/>
                </a:solidFill>
                <a:latin typeface="Franklin Gothic Book" panose="020B0503020102020204" pitchFamily="34" charset="0"/>
                <a:ea typeface="+mj-ea"/>
                <a:cs typeface="+mj-cs"/>
              </a:defRPr>
            </a:pPr>
            <a:r>
              <a:rPr lang="en-US" sz="2400">
                <a:solidFill>
                  <a:sysClr val="windowText" lastClr="000000"/>
                </a:solidFill>
              </a:rPr>
              <a:t>Monthly Income Totals</a:t>
            </a:r>
          </a:p>
        </c:rich>
      </c:tx>
      <c:overlay val="0"/>
      <c:spPr>
        <a:noFill/>
        <a:ln>
          <a:noFill/>
        </a:ln>
        <a:effectLst/>
      </c:spPr>
      <c:txPr>
        <a:bodyPr rot="0" spcFirstLastPara="1" vertOverflow="ellipsis" vert="horz" wrap="square" anchor="ctr" anchorCtr="1"/>
        <a:lstStyle/>
        <a:p>
          <a:pPr>
            <a:defRPr sz="2400" b="1" i="0" u="none" strike="noStrike" kern="1200" cap="none" spc="0" normalizeH="0" baseline="0">
              <a:solidFill>
                <a:sysClr val="windowText" lastClr="000000"/>
              </a:solidFill>
              <a:latin typeface="Franklin Gothic Book" panose="020B0503020102020204" pitchFamily="34" charset="0"/>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Franklin Gothic Book" panose="020B05030201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'Income Pivot Table'!$B$3</c:f>
              <c:strCache>
                <c:ptCount val="1"/>
                <c:pt idx="0">
                  <c:v>Total</c:v>
                </c:pt>
              </c:strCache>
            </c:strRef>
          </c:tx>
          <c:spPr>
            <a:solidFill>
              <a:schemeClr val="accent1"/>
            </a:solidFill>
            <a:ln>
              <a:noFill/>
            </a:ln>
            <a:effectLst/>
          </c:spPr>
          <c:invertIfNegative val="0"/>
          <c:cat>
            <c:strRef>
              <c:f>'Income Pivot Table'!$A$4:$A$6</c:f>
              <c:strCache>
                <c:ptCount val="2"/>
                <c:pt idx="0">
                  <c:v>2025-02-11</c:v>
                </c:pt>
                <c:pt idx="1">
                  <c:v>2025-02-10</c:v>
                </c:pt>
              </c:strCache>
            </c:strRef>
          </c:cat>
          <c:val>
            <c:numRef>
              <c:f>'Income Pivot Table'!$B$4:$B$6</c:f>
              <c:numCache>
                <c:formatCode>General</c:formatCode>
                <c:ptCount val="2"/>
                <c:pt idx="0">
                  <c:v>2000</c:v>
                </c:pt>
                <c:pt idx="1">
                  <c:v>200</c:v>
                </c:pt>
              </c:numCache>
            </c:numRef>
          </c:val>
          <c:extLst>
            <c:ext xmlns:c16="http://schemas.microsoft.com/office/drawing/2014/chart" uri="{C3380CC4-5D6E-409C-BE32-E72D297353CC}">
              <c16:uniqueId val="{00000000-554D-4767-BB9E-1C34CFB2069F}"/>
            </c:ext>
          </c:extLst>
        </c:ser>
        <c:dLbls>
          <c:showLegendKey val="0"/>
          <c:showVal val="0"/>
          <c:showCatName val="0"/>
          <c:showSerName val="0"/>
          <c:showPercent val="0"/>
          <c:showBubbleSize val="0"/>
        </c:dLbls>
        <c:gapWidth val="267"/>
        <c:overlap val="-43"/>
        <c:axId val="638317632"/>
        <c:axId val="638316672"/>
      </c:barChart>
      <c:catAx>
        <c:axId val="638317632"/>
        <c:scaling>
          <c:orientation val="minMax"/>
        </c:scaling>
        <c:delete val="0"/>
        <c:axPos val="b"/>
        <c:majorGridlines>
          <c:spPr>
            <a:ln w="9525" cap="flat" cmpd="sng" algn="ctr">
              <a:solidFill>
                <a:schemeClr val="dk1">
                  <a:lumMod val="15000"/>
                  <a:lumOff val="85000"/>
                </a:schemeClr>
              </a:solidFill>
              <a:round/>
            </a:ln>
            <a:effectLst/>
          </c:spPr>
        </c:majorGridlines>
        <c:numFmt formatCode="mmm" sourceLinked="0"/>
        <c:majorTickMark val="none"/>
        <c:minorTickMark val="none"/>
        <c:tickLblPos val="nextTo"/>
        <c:spPr>
          <a:noFill/>
          <a:ln w="22225" cap="flat" cmpd="sng" algn="ctr">
            <a:solidFill>
              <a:schemeClr val="tx1"/>
            </a:solidFill>
            <a:round/>
          </a:ln>
          <a:effectLst/>
        </c:spPr>
        <c:txPr>
          <a:bodyPr rot="-60000000" spcFirstLastPara="1" vertOverflow="ellipsis" vert="horz" wrap="square" anchor="ctr" anchorCtr="1"/>
          <a:lstStyle/>
          <a:p>
            <a:pPr>
              <a:defRPr sz="1200" b="0" i="0" u="none" strike="noStrike" kern="1200" cap="none" spc="0" normalizeH="0" baseline="0">
                <a:solidFill>
                  <a:schemeClr val="dk1">
                    <a:lumMod val="65000"/>
                    <a:lumOff val="35000"/>
                  </a:schemeClr>
                </a:solidFill>
                <a:latin typeface="Franklin Gothic Book" panose="020B0503020102020204" pitchFamily="34" charset="0"/>
                <a:ea typeface="+mn-ea"/>
                <a:cs typeface="+mn-cs"/>
              </a:defRPr>
            </a:pPr>
            <a:endParaRPr lang="en-US"/>
          </a:p>
        </c:txPr>
        <c:crossAx val="638316672"/>
        <c:crosses val="autoZero"/>
        <c:auto val="1"/>
        <c:lblAlgn val="ctr"/>
        <c:lblOffset val="100"/>
        <c:noMultiLvlLbl val="0"/>
      </c:catAx>
      <c:valAx>
        <c:axId val="638316672"/>
        <c:scaling>
          <c:orientation val="minMax"/>
        </c:scaling>
        <c:delete val="0"/>
        <c:axPos val="l"/>
        <c:majorGridlines>
          <c:spPr>
            <a:ln w="9525" cap="flat" cmpd="sng" algn="ctr">
              <a:solidFill>
                <a:schemeClr val="dk1">
                  <a:lumMod val="15000"/>
                  <a:lumOff val="85000"/>
                </a:schemeClr>
              </a:solidFill>
              <a:round/>
            </a:ln>
            <a:effectLst/>
          </c:spPr>
        </c:majorGridlines>
        <c:minorGridlines>
          <c:spPr>
            <a:ln w="9525" cap="flat" cmpd="sng" algn="ctr">
              <a:solidFill>
                <a:schemeClr val="dk1">
                  <a:lumMod val="5000"/>
                  <a:lumOff val="95000"/>
                </a:schemeClr>
              </a:solidFill>
              <a:round/>
            </a:ln>
            <a:effectLst/>
          </c:spPr>
        </c:minorGridlines>
        <c:numFmt formatCode="General" sourceLinked="1"/>
        <c:majorTickMark val="none"/>
        <c:minorTickMark val="none"/>
        <c:tickLblPos val="nextTo"/>
        <c:spPr>
          <a:noFill/>
          <a:ln w="22225">
            <a:solidFill>
              <a:schemeClr val="tx1"/>
            </a:solidFill>
            <a:tailEnd type="stealth"/>
          </a:ln>
          <a:effectLst/>
        </c:spPr>
        <c:txPr>
          <a:bodyPr rot="-60000000" spcFirstLastPara="1" vertOverflow="ellipsis" vert="horz" wrap="square" anchor="ctr" anchorCtr="1"/>
          <a:lstStyle/>
          <a:p>
            <a:pPr>
              <a:defRPr sz="1200" b="0" i="0" u="none" strike="noStrike" kern="1200" baseline="0">
                <a:solidFill>
                  <a:schemeClr val="dk1">
                    <a:lumMod val="65000"/>
                    <a:lumOff val="35000"/>
                  </a:schemeClr>
                </a:solidFill>
                <a:latin typeface="Franklin Gothic Book" panose="020B0503020102020204" pitchFamily="34" charset="0"/>
                <a:ea typeface="+mn-ea"/>
                <a:cs typeface="+mn-cs"/>
              </a:defRPr>
            </a:pPr>
            <a:endParaRPr lang="en-US"/>
          </a:p>
        </c:txPr>
        <c:crossAx val="638317632"/>
        <c:crosses val="autoZero"/>
        <c:crossBetween val="between"/>
      </c:valAx>
      <c:spPr>
        <a:pattFill prst="ltDnDiag">
          <a:fgClr>
            <a:schemeClr val="dk1">
              <a:lumMod val="15000"/>
              <a:lumOff val="85000"/>
            </a:schemeClr>
          </a:fgClr>
          <a:bgClr>
            <a:schemeClr val="lt1"/>
          </a:bgClr>
        </a:pattFill>
        <a:ln w="19050">
          <a:solidFill>
            <a:schemeClr val="tx1"/>
          </a:solid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dk1">
                  <a:lumMod val="65000"/>
                  <a:lumOff val="35000"/>
                </a:schemeClr>
              </a:solidFill>
              <a:latin typeface="Franklin Gothic Book" panose="020B05030201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38100" cap="flat" cmpd="sng" algn="ctr">
      <a:solidFill>
        <a:schemeClr val="accent1">
          <a:lumMod val="75000"/>
        </a:schemeClr>
      </a:solidFill>
      <a:round/>
    </a:ln>
    <a:effectLst/>
  </c:spPr>
  <c:txPr>
    <a:bodyPr/>
    <a:lstStyle/>
    <a:p>
      <a:pPr>
        <a:defRPr sz="1200">
          <a:latin typeface="Franklin Gothic Book" panose="020B05030201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[Prototype.xlsm]Expenses Pivot Table!Expenses Pivot</c:name>
    <c:fmtId val="3"/>
  </c:pivotSource>
  <c:chart>
    <c:title>
      <c:tx>
        <c:rich>
          <a:bodyPr rot="0" spcFirstLastPara="1" vertOverflow="ellipsis" vert="horz" wrap="square" anchor="ctr" anchorCtr="1"/>
          <a:lstStyle/>
          <a:p>
            <a:pPr>
              <a:defRPr sz="2400" b="1" i="0" u="none" strike="noStrike" kern="1200" cap="none" spc="0" normalizeH="0" baseline="0">
                <a:solidFill>
                  <a:sysClr val="windowText" lastClr="000000"/>
                </a:solidFill>
                <a:latin typeface="Franklin Gothic Book" panose="020B0503020102020204" pitchFamily="34" charset="0"/>
                <a:ea typeface="+mj-ea"/>
                <a:cs typeface="+mj-cs"/>
              </a:defRPr>
            </a:pPr>
            <a:r>
              <a:rPr lang="en-US" sz="2400">
                <a:solidFill>
                  <a:sysClr val="windowText" lastClr="000000"/>
                </a:solidFill>
              </a:rPr>
              <a:t>Monthly Expense Totals</a:t>
            </a:r>
          </a:p>
        </c:rich>
      </c:tx>
      <c:overlay val="0"/>
      <c:spPr>
        <a:noFill/>
        <a:ln>
          <a:noFill/>
        </a:ln>
        <a:effectLst/>
      </c:spPr>
      <c:txPr>
        <a:bodyPr rot="0" spcFirstLastPara="1" vertOverflow="ellipsis" vert="horz" wrap="square" anchor="ctr" anchorCtr="1"/>
        <a:lstStyle/>
        <a:p>
          <a:pPr>
            <a:defRPr sz="2400" b="1" i="0" u="none" strike="noStrike" kern="1200" cap="none" spc="0" normalizeH="0" baseline="0">
              <a:solidFill>
                <a:sysClr val="windowText" lastClr="000000"/>
              </a:solidFill>
              <a:latin typeface="Franklin Gothic Book" panose="020B0503020102020204" pitchFamily="34" charset="0"/>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Franklin Gothic Book" panose="020B05030201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Franklin Gothic Book" panose="020B05030201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Franklin Gothic Book" panose="020B05030201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Franklin Gothic Book" panose="020B05030201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'Expenses Pivot Table'!$B$3</c:f>
              <c:strCache>
                <c:ptCount val="1"/>
                <c:pt idx="0">
                  <c:v>Total</c:v>
                </c:pt>
              </c:strCache>
            </c:strRef>
          </c:tx>
          <c:spPr>
            <a:solidFill>
              <a:schemeClr val="accent1"/>
            </a:solidFill>
            <a:ln>
              <a:noFill/>
            </a:ln>
            <a:effectLst/>
          </c:spPr>
          <c:invertIfNegative val="0"/>
          <c:cat>
            <c:strRef>
              <c:f>'Expenses Pivot Table'!$A$4:$A$6</c:f>
              <c:strCache>
                <c:ptCount val="2"/>
                <c:pt idx="0">
                  <c:v>Oct</c:v>
                </c:pt>
                <c:pt idx="1">
                  <c:v>Nov</c:v>
                </c:pt>
              </c:strCache>
            </c:strRef>
          </c:cat>
          <c:val>
            <c:numRef>
              <c:f>'Expenses Pivot Table'!$B$4:$B$6</c:f>
              <c:numCache>
                <c:formatCode>General</c:formatCode>
                <c:ptCount val="2"/>
                <c:pt idx="0">
                  <c:v>1150</c:v>
                </c:pt>
                <c:pt idx="1">
                  <c:v>200</c:v>
                </c:pt>
              </c:numCache>
            </c:numRef>
          </c:val>
          <c:extLst>
            <c:ext xmlns:c16="http://schemas.microsoft.com/office/drawing/2014/chart" uri="{C3380CC4-5D6E-409C-BE32-E72D297353CC}">
              <c16:uniqueId val="{00000004-73CA-4C92-99D7-FEFCE6FCA03B}"/>
            </c:ext>
          </c:extLst>
        </c:ser>
        <c:dLbls>
          <c:showLegendKey val="0"/>
          <c:showVal val="0"/>
          <c:showCatName val="0"/>
          <c:showSerName val="0"/>
          <c:showPercent val="0"/>
          <c:showBubbleSize val="0"/>
        </c:dLbls>
        <c:gapWidth val="267"/>
        <c:overlap val="-43"/>
        <c:axId val="638317632"/>
        <c:axId val="638316672"/>
      </c:barChart>
      <c:catAx>
        <c:axId val="638317632"/>
        <c:scaling>
          <c:orientation val="minMax"/>
        </c:scaling>
        <c:delete val="0"/>
        <c:axPos val="b"/>
        <c:majorGridlines>
          <c:spPr>
            <a:ln w="9525" cap="flat" cmpd="sng" algn="ctr">
              <a:solidFill>
                <a:schemeClr val="dk1">
                  <a:lumMod val="15000"/>
                  <a:lumOff val="85000"/>
                </a:schemeClr>
              </a:solidFill>
              <a:round/>
            </a:ln>
            <a:effectLst/>
          </c:spPr>
        </c:majorGridlines>
        <c:numFmt formatCode="mmm" sourceLinked="0"/>
        <c:majorTickMark val="none"/>
        <c:minorTickMark val="none"/>
        <c:tickLblPos val="nextTo"/>
        <c:spPr>
          <a:noFill/>
          <a:ln w="22225" cap="flat" cmpd="sng" algn="ctr">
            <a:solidFill>
              <a:schemeClr val="tx1"/>
            </a:solidFill>
            <a:round/>
          </a:ln>
          <a:effectLst/>
        </c:spPr>
        <c:txPr>
          <a:bodyPr rot="-60000000" spcFirstLastPara="1" vertOverflow="ellipsis" vert="horz" wrap="square" anchor="ctr" anchorCtr="1"/>
          <a:lstStyle/>
          <a:p>
            <a:pPr>
              <a:defRPr sz="1200" b="0" i="0" u="none" strike="noStrike" kern="1200" cap="none" spc="0" normalizeH="0" baseline="0">
                <a:solidFill>
                  <a:schemeClr val="dk1">
                    <a:lumMod val="65000"/>
                    <a:lumOff val="35000"/>
                  </a:schemeClr>
                </a:solidFill>
                <a:latin typeface="Franklin Gothic Book" panose="020B0503020102020204" pitchFamily="34" charset="0"/>
                <a:ea typeface="+mn-ea"/>
                <a:cs typeface="+mn-cs"/>
              </a:defRPr>
            </a:pPr>
            <a:endParaRPr lang="en-US"/>
          </a:p>
        </c:txPr>
        <c:crossAx val="638316672"/>
        <c:crosses val="autoZero"/>
        <c:auto val="1"/>
        <c:lblAlgn val="ctr"/>
        <c:lblOffset val="100"/>
        <c:noMultiLvlLbl val="0"/>
      </c:catAx>
      <c:valAx>
        <c:axId val="638316672"/>
        <c:scaling>
          <c:orientation val="minMax"/>
        </c:scaling>
        <c:delete val="0"/>
        <c:axPos val="l"/>
        <c:majorGridlines>
          <c:spPr>
            <a:ln w="9525" cap="flat" cmpd="sng" algn="ctr">
              <a:solidFill>
                <a:schemeClr val="dk1">
                  <a:lumMod val="15000"/>
                  <a:lumOff val="85000"/>
                </a:schemeClr>
              </a:solidFill>
              <a:round/>
            </a:ln>
            <a:effectLst/>
          </c:spPr>
        </c:majorGridlines>
        <c:minorGridlines>
          <c:spPr>
            <a:ln w="9525" cap="flat" cmpd="sng" algn="ctr">
              <a:solidFill>
                <a:schemeClr val="dk1">
                  <a:lumMod val="5000"/>
                  <a:lumOff val="95000"/>
                </a:schemeClr>
              </a:solidFill>
              <a:round/>
            </a:ln>
            <a:effectLst/>
          </c:spPr>
        </c:minorGridlines>
        <c:numFmt formatCode="General" sourceLinked="1"/>
        <c:majorTickMark val="none"/>
        <c:minorTickMark val="none"/>
        <c:tickLblPos val="nextTo"/>
        <c:spPr>
          <a:noFill/>
          <a:ln w="22225">
            <a:solidFill>
              <a:schemeClr val="tx1"/>
            </a:solidFill>
            <a:tailEnd type="stealth"/>
          </a:ln>
          <a:effectLst/>
        </c:spPr>
        <c:txPr>
          <a:bodyPr rot="-60000000" spcFirstLastPara="1" vertOverflow="ellipsis" vert="horz" wrap="square" anchor="ctr" anchorCtr="1"/>
          <a:lstStyle/>
          <a:p>
            <a:pPr>
              <a:defRPr sz="1200" b="0" i="0" u="none" strike="noStrike" kern="1200" baseline="0">
                <a:solidFill>
                  <a:schemeClr val="dk1">
                    <a:lumMod val="65000"/>
                    <a:lumOff val="35000"/>
                  </a:schemeClr>
                </a:solidFill>
                <a:latin typeface="Franklin Gothic Book" panose="020B0503020102020204" pitchFamily="34" charset="0"/>
                <a:ea typeface="+mn-ea"/>
                <a:cs typeface="+mn-cs"/>
              </a:defRPr>
            </a:pPr>
            <a:endParaRPr lang="en-US"/>
          </a:p>
        </c:txPr>
        <c:crossAx val="638317632"/>
        <c:crosses val="autoZero"/>
        <c:crossBetween val="between"/>
      </c:valAx>
      <c:spPr>
        <a:pattFill prst="ltDnDiag">
          <a:fgClr>
            <a:schemeClr val="dk1">
              <a:lumMod val="15000"/>
              <a:lumOff val="85000"/>
            </a:schemeClr>
          </a:fgClr>
          <a:bgClr>
            <a:schemeClr val="lt1"/>
          </a:bgClr>
        </a:pattFill>
        <a:ln w="19050">
          <a:solidFill>
            <a:schemeClr val="tx1"/>
          </a:solid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dk1">
                  <a:lumMod val="65000"/>
                  <a:lumOff val="35000"/>
                </a:schemeClr>
              </a:solidFill>
              <a:latin typeface="Franklin Gothic Book" panose="020B0503020102020204" pitchFamily="34" charset="0"/>
              <a:ea typeface="+mn-ea"/>
              <a:cs typeface="+mn-cs"/>
            </a:defRPr>
          </a:pPr>
          <a:endParaRPr lang="en-US"/>
        </a:p>
      </c:txPr>
    </c:legend>
    <c:plotVisOnly val="1"/>
    <c:dispBlanksAs val="gap"/>
    <c:showDLblsOverMax val="0"/>
    <c:extLst/>
  </c:chart>
  <c:spPr>
    <a:solidFill>
      <a:schemeClr val="lt1"/>
    </a:solidFill>
    <a:ln w="38100" cap="flat" cmpd="sng" algn="ctr">
      <a:solidFill>
        <a:schemeClr val="accent1">
          <a:lumMod val="75000"/>
        </a:schemeClr>
      </a:solidFill>
      <a:round/>
    </a:ln>
    <a:effectLst/>
  </c:spPr>
  <c:txPr>
    <a:bodyPr/>
    <a:lstStyle/>
    <a:p>
      <a:pPr>
        <a:defRPr sz="1200">
          <a:latin typeface="Franklin Gothic Book" panose="020B05030201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Franklin Gothic Book" panose="020B0503020102020204" pitchFamily="34" charset="0"/>
                <a:ea typeface="+mn-ea"/>
                <a:cs typeface="+mn-cs"/>
              </a:defRPr>
            </a:pPr>
            <a:r>
              <a:rPr lang="en-CA" sz="1800" b="1">
                <a:solidFill>
                  <a:sysClr val="windowText" lastClr="000000"/>
                </a:solidFill>
                <a:latin typeface="Franklin Gothic Book" panose="020B0503020102020204" pitchFamily="34" charset="0"/>
              </a:rPr>
              <a:t>Expense</a:t>
            </a:r>
            <a:r>
              <a:rPr lang="en-CA" sz="1800" b="1" baseline="0">
                <a:solidFill>
                  <a:sysClr val="windowText" lastClr="000000"/>
                </a:solidFill>
                <a:latin typeface="Franklin Gothic Book" panose="020B0503020102020204" pitchFamily="34" charset="0"/>
              </a:rPr>
              <a:t> Breakdown</a:t>
            </a:r>
            <a:endParaRPr lang="en-CA" sz="1800" b="1">
              <a:solidFill>
                <a:sysClr val="windowText" lastClr="000000"/>
              </a:solidFill>
              <a:latin typeface="Franklin Gothic Book" panose="020B0503020102020204" pitchFamily="34"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Franklin Gothic Book" panose="020B0503020102020204" pitchFamily="34" charset="0"/>
              <a:ea typeface="+mn-ea"/>
              <a:cs typeface="+mn-cs"/>
            </a:defRPr>
          </a:pPr>
          <a:endParaRPr lang="en-CA"/>
        </a:p>
      </c:txPr>
    </c:title>
    <c:autoTitleDeleted val="0"/>
    <c:plotArea>
      <c:layout/>
      <c:pieChart>
        <c:varyColors val="1"/>
        <c:ser>
          <c:idx val="0"/>
          <c:order val="0"/>
          <c:spPr>
            <a:solidFill>
              <a:srgbClr val="66CCFF"/>
            </a:solidFill>
          </c:spPr>
          <c:dPt>
            <c:idx val="0"/>
            <c:bubble3D val="0"/>
            <c:spPr>
              <a:solidFill>
                <a:srgbClr val="D86666"/>
              </a:solidFill>
              <a:ln w="19050">
                <a:solidFill>
                  <a:schemeClr val="lt1"/>
                </a:solidFill>
              </a:ln>
              <a:effectLst/>
            </c:spPr>
            <c:extLst>
              <c:ext xmlns:c16="http://schemas.microsoft.com/office/drawing/2014/chart" uri="{C3380CC4-5D6E-409C-BE32-E72D297353CC}">
                <c16:uniqueId val="{00000006-12AD-4C1C-8F6E-565F420F5359}"/>
              </c:ext>
            </c:extLst>
          </c:dPt>
          <c:dPt>
            <c:idx val="1"/>
            <c:bubble3D val="0"/>
            <c:spPr>
              <a:solidFill>
                <a:srgbClr val="3366CC"/>
              </a:solidFill>
              <a:ln w="19050">
                <a:solidFill>
                  <a:schemeClr val="lt1"/>
                </a:solidFill>
              </a:ln>
              <a:effectLst/>
            </c:spPr>
            <c:extLst>
              <c:ext xmlns:c16="http://schemas.microsoft.com/office/drawing/2014/chart" uri="{C3380CC4-5D6E-409C-BE32-E72D297353CC}">
                <c16:uniqueId val="{00000002-12AD-4C1C-8F6E-565F420F5359}"/>
              </c:ext>
            </c:extLst>
          </c:dPt>
          <c:dPt>
            <c:idx val="2"/>
            <c:bubble3D val="0"/>
            <c:spPr>
              <a:solidFill>
                <a:srgbClr val="9966FF"/>
              </a:solidFill>
              <a:ln w="19050">
                <a:solidFill>
                  <a:schemeClr val="lt1"/>
                </a:solidFill>
              </a:ln>
              <a:effectLst/>
            </c:spPr>
            <c:extLst>
              <c:ext xmlns:c16="http://schemas.microsoft.com/office/drawing/2014/chart" uri="{C3380CC4-5D6E-409C-BE32-E72D297353CC}">
                <c16:uniqueId val="{00000003-12AD-4C1C-8F6E-565F420F5359}"/>
              </c:ext>
            </c:extLst>
          </c:dPt>
          <c:dPt>
            <c:idx val="3"/>
            <c:bubble3D val="0"/>
            <c:spPr>
              <a:solidFill>
                <a:srgbClr val="660066"/>
              </a:solidFill>
              <a:ln w="19050">
                <a:solidFill>
                  <a:schemeClr val="lt1"/>
                </a:solidFill>
              </a:ln>
              <a:effectLst/>
            </c:spPr>
            <c:extLst>
              <c:ext xmlns:c16="http://schemas.microsoft.com/office/drawing/2014/chart" uri="{C3380CC4-5D6E-409C-BE32-E72D297353CC}">
                <c16:uniqueId val="{00000005-12AD-4C1C-8F6E-565F420F5359}"/>
              </c:ext>
            </c:extLst>
          </c:dPt>
          <c:dPt>
            <c:idx val="4"/>
            <c:bubble3D val="0"/>
            <c:spPr>
              <a:solidFill>
                <a:srgbClr val="66CCFF"/>
              </a:solidFill>
              <a:ln w="19050">
                <a:solidFill>
                  <a:schemeClr val="lt1"/>
                </a:solidFill>
              </a:ln>
              <a:effectLst/>
            </c:spPr>
            <c:extLst>
              <c:ext xmlns:c16="http://schemas.microsoft.com/office/drawing/2014/chart" uri="{C3380CC4-5D6E-409C-BE32-E72D297353CC}">
                <c16:uniqueId val="{00000004-12AD-4C1C-8F6E-565F420F5359}"/>
              </c:ext>
            </c:extLst>
          </c:dPt>
          <c:dPt>
            <c:idx val="5"/>
            <c:bubble3D val="0"/>
            <c:spPr>
              <a:solidFill>
                <a:srgbClr val="F5D971"/>
              </a:solidFill>
              <a:ln w="19050">
                <a:solidFill>
                  <a:schemeClr val="lt1"/>
                </a:solidFill>
              </a:ln>
              <a:effectLst/>
            </c:spPr>
            <c:extLst>
              <c:ext xmlns:c16="http://schemas.microsoft.com/office/drawing/2014/chart" uri="{C3380CC4-5D6E-409C-BE32-E72D297353CC}">
                <c16:uniqueId val="{00000001-12AD-4C1C-8F6E-565F420F5359}"/>
              </c:ext>
            </c:extLst>
          </c:dPt>
          <c:cat>
            <c:strRef>
              <c:f>'Output Dashboard'!$B$37:$B$42</c:f>
              <c:strCache>
                <c:ptCount val="6"/>
                <c:pt idx="0">
                  <c:v>Total Personal Spending</c:v>
                </c:pt>
                <c:pt idx="1">
                  <c:v>Total School Expenses</c:v>
                </c:pt>
                <c:pt idx="2">
                  <c:v>Total Living Expenses</c:v>
                </c:pt>
                <c:pt idx="3">
                  <c:v>Total Groceries </c:v>
                </c:pt>
                <c:pt idx="4">
                  <c:v>Entertainment</c:v>
                </c:pt>
                <c:pt idx="5">
                  <c:v>Other</c:v>
                </c:pt>
              </c:strCache>
            </c:strRef>
          </c:cat>
          <c:val>
            <c:numRef>
              <c:f>'Output Dashboard'!$C$37:$C$42</c:f>
              <c:numCache>
                <c:formatCode>"$"#,##0.00</c:formatCode>
                <c:ptCount val="6"/>
                <c:pt idx="0">
                  <c:v>350</c:v>
                </c:pt>
                <c:pt idx="1">
                  <c:v>0</c:v>
                </c:pt>
                <c:pt idx="2">
                  <c:v>1000</c:v>
                </c:pt>
                <c:pt idx="3">
                  <c:v>0</c:v>
                </c:pt>
                <c:pt idx="4">
                  <c:v>0</c:v>
                </c:pt>
                <c:pt idx="5">
                  <c:v>0</c:v>
                </c:pt>
              </c:numCache>
            </c:numRef>
          </c:val>
          <c:extLst>
            <c:ext xmlns:c16="http://schemas.microsoft.com/office/drawing/2014/chart" uri="{C3380CC4-5D6E-409C-BE32-E72D297353CC}">
              <c16:uniqueId val="{00000000-12AD-4C1C-8F6E-565F420F535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Franklin Gothic Book" panose="020B0503020102020204" pitchFamily="34" charset="0"/>
              <a:ea typeface="+mn-ea"/>
              <a:cs typeface="+mn-cs"/>
            </a:defRPr>
          </a:pPr>
          <a:endParaRPr lang="en-US"/>
        </a:p>
      </c:txPr>
    </c:legend>
    <c:plotVisOnly val="1"/>
    <c:dispBlanksAs val="gap"/>
    <c:showDLblsOverMax val="0"/>
  </c:chart>
  <c:spPr>
    <a:solidFill>
      <a:schemeClr val="bg1"/>
    </a:solidFill>
    <a:ln w="381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Franklin Gothic Book" panose="020B0503020102020204" pitchFamily="34" charset="0"/>
                <a:ea typeface="+mn-ea"/>
                <a:cs typeface="+mn-cs"/>
              </a:defRPr>
            </a:pPr>
            <a:r>
              <a:rPr lang="en-CA" sz="1800" b="1">
                <a:solidFill>
                  <a:sysClr val="windowText" lastClr="000000"/>
                </a:solidFill>
                <a:latin typeface="Franklin Gothic Book" panose="020B0503020102020204" pitchFamily="34" charset="0"/>
              </a:rPr>
              <a:t>Income Breakdown</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Franklin Gothic Book" panose="020B0503020102020204" pitchFamily="34" charset="0"/>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CAA-40FF-A48F-49A147AB3BA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CAA-40FF-A48F-49A147AB3BA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CAA-40FF-A48F-49A147AB3BA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CAA-40FF-A48F-49A147AB3BA4}"/>
              </c:ext>
            </c:extLst>
          </c:dPt>
          <c:cat>
            <c:strRef>
              <c:f>'Output Dashboard'!$J$37:$J$40</c:f>
              <c:strCache>
                <c:ptCount val="4"/>
                <c:pt idx="0">
                  <c:v>Total Gifts</c:v>
                </c:pt>
                <c:pt idx="1">
                  <c:v>Total Salary</c:v>
                </c:pt>
                <c:pt idx="2">
                  <c:v>Total Investment Return</c:v>
                </c:pt>
                <c:pt idx="3">
                  <c:v>Total Other</c:v>
                </c:pt>
              </c:strCache>
            </c:strRef>
          </c:cat>
          <c:val>
            <c:numRef>
              <c:f>'Output Dashboard'!$K$37:$K$40</c:f>
              <c:numCache>
                <c:formatCode>"$"#,##0.00</c:formatCode>
                <c:ptCount val="4"/>
                <c:pt idx="0">
                  <c:v>200</c:v>
                </c:pt>
                <c:pt idx="1">
                  <c:v>6000</c:v>
                </c:pt>
                <c:pt idx="2">
                  <c:v>1500</c:v>
                </c:pt>
                <c:pt idx="3">
                  <c:v>0</c:v>
                </c:pt>
              </c:numCache>
            </c:numRef>
          </c:val>
          <c:extLst>
            <c:ext xmlns:c16="http://schemas.microsoft.com/office/drawing/2014/chart" uri="{C3380CC4-5D6E-409C-BE32-E72D297353CC}">
              <c16:uniqueId val="{00000000-7A47-4DB7-90B2-23FAC57946F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381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Franklin Gothic Book" panose="020B0503020102020204" pitchFamily="34" charset="0"/>
                <a:ea typeface="+mn-ea"/>
                <a:cs typeface="+mn-cs"/>
              </a:defRPr>
            </a:pPr>
            <a:r>
              <a:rPr lang="en-US" sz="1800" b="1"/>
              <a:t>Income Projections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Franklin Gothic Book" panose="020B0503020102020204" pitchFamily="34" charset="0"/>
              <a:ea typeface="+mn-ea"/>
              <a:cs typeface="+mn-cs"/>
            </a:defRPr>
          </a:pPr>
          <a:endParaRPr lang="en-US"/>
        </a:p>
      </c:txPr>
    </c:title>
    <c:autoTitleDeleted val="0"/>
    <c:plotArea>
      <c:layout/>
      <c:scatterChart>
        <c:scatterStyle val="lineMarker"/>
        <c:varyColors val="0"/>
        <c:ser>
          <c:idx val="0"/>
          <c:order val="0"/>
          <c:tx>
            <c:strRef>
              <c:f>Income!$E$6</c:f>
              <c:strCache>
                <c:ptCount val="1"/>
                <c:pt idx="0">
                  <c:v>Ammount</c:v>
                </c:pt>
              </c:strCache>
            </c:strRef>
          </c:tx>
          <c:spPr>
            <a:ln w="19050" cap="rnd">
              <a:noFill/>
              <a:round/>
              <a:tailEnd type="stealth"/>
            </a:ln>
            <a:effectLst/>
          </c:spPr>
          <c:marker>
            <c:symbol val="circle"/>
            <c:size val="5"/>
            <c:spPr>
              <a:solidFill>
                <a:schemeClr val="accent1"/>
              </a:solidFill>
              <a:ln w="9525">
                <a:solidFill>
                  <a:schemeClr val="accent1"/>
                </a:solidFill>
              </a:ln>
              <a:effectLst/>
            </c:spPr>
          </c:marker>
          <c:dPt>
            <c:idx val="1"/>
            <c:marker>
              <c:symbol val="circle"/>
              <c:size val="5"/>
              <c:spPr>
                <a:solidFill>
                  <a:schemeClr val="accent1"/>
                </a:solidFill>
                <a:ln w="9525">
                  <a:solidFill>
                    <a:schemeClr val="accent1"/>
                  </a:solidFill>
                </a:ln>
                <a:effectLst/>
              </c:spPr>
            </c:marker>
            <c:bubble3D val="0"/>
            <c:spPr>
              <a:ln w="19050" cap="rnd">
                <a:noFill/>
                <a:round/>
                <a:tailEnd type="stealth"/>
              </a:ln>
              <a:effectLst/>
            </c:spPr>
            <c:extLst>
              <c:ext xmlns:c16="http://schemas.microsoft.com/office/drawing/2014/chart" uri="{C3380CC4-5D6E-409C-BE32-E72D297353CC}">
                <c16:uniqueId val="{00000006-E334-4E1F-B3A3-B4C0356E572D}"/>
              </c:ext>
            </c:extLst>
          </c:dPt>
          <c:dPt>
            <c:idx val="2"/>
            <c:marker>
              <c:symbol val="circle"/>
              <c:size val="5"/>
              <c:spPr>
                <a:solidFill>
                  <a:schemeClr val="accent1"/>
                </a:solidFill>
                <a:ln w="9525">
                  <a:solidFill>
                    <a:schemeClr val="accent1"/>
                  </a:solidFill>
                </a:ln>
                <a:effectLst/>
              </c:spPr>
            </c:marker>
            <c:bubble3D val="0"/>
            <c:spPr>
              <a:ln w="19050" cap="rnd">
                <a:noFill/>
                <a:round/>
                <a:tailEnd type="stealth"/>
              </a:ln>
              <a:effectLst/>
            </c:spPr>
            <c:extLst>
              <c:ext xmlns:c16="http://schemas.microsoft.com/office/drawing/2014/chart" uri="{C3380CC4-5D6E-409C-BE32-E72D297353CC}">
                <c16:uniqueId val="{00000007-E334-4E1F-B3A3-B4C0356E572D}"/>
              </c:ext>
            </c:extLst>
          </c:dPt>
          <c:dPt>
            <c:idx val="3"/>
            <c:marker>
              <c:symbol val="circle"/>
              <c:size val="5"/>
              <c:spPr>
                <a:solidFill>
                  <a:schemeClr val="accent1"/>
                </a:solidFill>
                <a:ln w="9525">
                  <a:solidFill>
                    <a:schemeClr val="accent1"/>
                  </a:solidFill>
                </a:ln>
                <a:effectLst/>
              </c:spPr>
            </c:marker>
            <c:bubble3D val="0"/>
            <c:spPr>
              <a:ln w="19050" cap="rnd">
                <a:noFill/>
                <a:round/>
                <a:tailEnd type="stealth"/>
              </a:ln>
              <a:effectLst/>
            </c:spPr>
            <c:extLst>
              <c:ext xmlns:c16="http://schemas.microsoft.com/office/drawing/2014/chart" uri="{C3380CC4-5D6E-409C-BE32-E72D297353CC}">
                <c16:uniqueId val="{00000008-E334-4E1F-B3A3-B4C0356E572D}"/>
              </c:ext>
            </c:extLst>
          </c:dPt>
          <c:trendline>
            <c:spPr>
              <a:ln w="19050" cap="rnd">
                <a:solidFill>
                  <a:schemeClr val="tx1"/>
                </a:solidFill>
                <a:prstDash val="solid"/>
                <a:tailEnd type="triangle"/>
              </a:ln>
              <a:effectLst/>
            </c:spPr>
            <c:trendlineType val="linear"/>
            <c:forward val="365"/>
            <c:dispRSqr val="0"/>
            <c:dispEq val="1"/>
            <c:trendlineLbl>
              <c:layout>
                <c:manualLayout>
                  <c:x val="0.10931083076181256"/>
                  <c:y val="-0.8189548589035066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bg2">
                          <a:lumMod val="50000"/>
                        </a:schemeClr>
                      </a:solidFill>
                      <a:latin typeface="Franklin Gothic Book" panose="020B0503020102020204" pitchFamily="34" charset="0"/>
                      <a:ea typeface="+mn-ea"/>
                      <a:cs typeface="+mn-cs"/>
                    </a:defRPr>
                  </a:pPr>
                  <a:endParaRPr lang="en-US"/>
                </a:p>
              </c:txPr>
            </c:trendlineLbl>
          </c:trendline>
          <c:xVal>
            <c:numRef>
              <c:f>Income!$B$7:$B$13</c:f>
              <c:numCache>
                <c:formatCode>yyyy\-mm\-dd;@</c:formatCode>
                <c:ptCount val="7"/>
                <c:pt idx="0">
                  <c:v>45668</c:v>
                </c:pt>
                <c:pt idx="1">
                  <c:v>45699</c:v>
                </c:pt>
                <c:pt idx="2">
                  <c:v>45727</c:v>
                </c:pt>
                <c:pt idx="3">
                  <c:v>45698</c:v>
                </c:pt>
                <c:pt idx="4">
                  <c:v>45749</c:v>
                </c:pt>
              </c:numCache>
            </c:numRef>
          </c:xVal>
          <c:yVal>
            <c:numRef>
              <c:f>Income!$E$7:$E$13</c:f>
              <c:numCache>
                <c:formatCode>"$"#,##0.00</c:formatCode>
                <c:ptCount val="7"/>
                <c:pt idx="0">
                  <c:v>2000</c:v>
                </c:pt>
                <c:pt idx="1">
                  <c:v>2000</c:v>
                </c:pt>
                <c:pt idx="2">
                  <c:v>2000</c:v>
                </c:pt>
                <c:pt idx="3">
                  <c:v>200</c:v>
                </c:pt>
                <c:pt idx="4">
                  <c:v>1500</c:v>
                </c:pt>
              </c:numCache>
            </c:numRef>
          </c:yVal>
          <c:smooth val="0"/>
          <c:extLst>
            <c:ext xmlns:c16="http://schemas.microsoft.com/office/drawing/2014/chart" uri="{C3380CC4-5D6E-409C-BE32-E72D297353CC}">
              <c16:uniqueId val="{00000000-E334-4E1F-B3A3-B4C0356E572D}"/>
            </c:ext>
          </c:extLst>
        </c:ser>
        <c:dLbls>
          <c:showLegendKey val="0"/>
          <c:showVal val="0"/>
          <c:showCatName val="0"/>
          <c:showSerName val="0"/>
          <c:showPercent val="0"/>
          <c:showBubbleSize val="0"/>
        </c:dLbls>
        <c:axId val="220402256"/>
        <c:axId val="220403216"/>
      </c:scatterChart>
      <c:valAx>
        <c:axId val="220402256"/>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1009]d/mmm/yy;@" sourceLinked="0"/>
        <c:majorTickMark val="none"/>
        <c:minorTickMark val="none"/>
        <c:tickLblPos val="nextTo"/>
        <c:spPr>
          <a:noFill/>
          <a:ln w="22225" cap="flat" cmpd="sng" algn="ctr">
            <a:solidFill>
              <a:schemeClr val="tx1"/>
            </a:solidFill>
            <a:round/>
            <a:tailEnd type="stealth"/>
          </a:ln>
          <a:effectLst/>
        </c:spPr>
        <c:txPr>
          <a:bodyPr rot="-60000000" spcFirstLastPara="1" vertOverflow="ellipsis" vert="horz" wrap="square" anchor="ctr" anchorCtr="1"/>
          <a:lstStyle/>
          <a:p>
            <a:pPr>
              <a:defRPr sz="900" b="0" i="0" u="none" strike="noStrike" kern="1200" baseline="0">
                <a:solidFill>
                  <a:sysClr val="windowText" lastClr="000000"/>
                </a:solidFill>
                <a:latin typeface="Franklin Gothic Book" panose="020B0503020102020204" pitchFamily="34" charset="0"/>
                <a:ea typeface="+mn-ea"/>
                <a:cs typeface="+mn-cs"/>
              </a:defRPr>
            </a:pPr>
            <a:endParaRPr lang="en-US"/>
          </a:p>
        </c:txPr>
        <c:crossAx val="220403216"/>
        <c:crosses val="autoZero"/>
        <c:crossBetween val="midCat"/>
      </c:valAx>
      <c:valAx>
        <c:axId val="22040321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00" sourceLinked="1"/>
        <c:majorTickMark val="none"/>
        <c:minorTickMark val="none"/>
        <c:tickLblPos val="nextTo"/>
        <c:spPr>
          <a:noFill/>
          <a:ln w="222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Franklin Gothic Book" panose="020B0503020102020204" pitchFamily="34" charset="0"/>
                <a:ea typeface="+mn-ea"/>
                <a:cs typeface="+mn-cs"/>
              </a:defRPr>
            </a:pPr>
            <a:endParaRPr lang="en-US"/>
          </a:p>
        </c:txPr>
        <c:crossAx val="22040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ysClr val="windowText" lastClr="000000"/>
      </a:solidFill>
      <a:round/>
    </a:ln>
    <a:effectLst/>
  </c:spPr>
  <c:txPr>
    <a:bodyPr/>
    <a:lstStyle/>
    <a:p>
      <a:pPr>
        <a:defRPr sz="1000">
          <a:solidFill>
            <a:sysClr val="windowText" lastClr="000000"/>
          </a:solidFill>
          <a:latin typeface="Franklin Gothic Book" panose="020B0503020102020204" pitchFamily="34"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Franklin Gothic Book" panose="020B0503020102020204" pitchFamily="34" charset="0"/>
                <a:ea typeface="+mn-ea"/>
                <a:cs typeface="+mn-cs"/>
              </a:defRPr>
            </a:pPr>
            <a:r>
              <a:rPr lang="en-US"/>
              <a:t>Spending Projections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Franklin Gothic Book" panose="020B0503020102020204" pitchFamily="34" charset="0"/>
              <a:ea typeface="+mn-ea"/>
              <a:cs typeface="+mn-cs"/>
            </a:defRPr>
          </a:pPr>
          <a:endParaRPr lang="en-US"/>
        </a:p>
      </c:txPr>
    </c:title>
    <c:autoTitleDeleted val="0"/>
    <c:plotArea>
      <c:layout/>
      <c:scatterChart>
        <c:scatterStyle val="lineMarker"/>
        <c:varyColors val="0"/>
        <c:ser>
          <c:idx val="0"/>
          <c:order val="0"/>
          <c:tx>
            <c:strRef>
              <c:f>Expenses!$E$6</c:f>
              <c:strCache>
                <c:ptCount val="1"/>
                <c:pt idx="0">
                  <c:v>Ammount</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tx1"/>
                </a:solidFill>
                <a:prstDash val="solid"/>
                <a:tailEnd type="stealth"/>
              </a:ln>
              <a:effectLst/>
            </c:spPr>
            <c:trendlineType val="linear"/>
            <c:forward val="365"/>
            <c:dispRSqr val="0"/>
            <c:dispEq val="1"/>
            <c:trendlineLbl>
              <c:layout>
                <c:manualLayout>
                  <c:x val="6.8291947837463757E-2"/>
                  <c:y val="-0.7841753758052970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Expenses!$B$7:$B$9</c:f>
              <c:numCache>
                <c:formatCode>yyyy\-mm\-dd;@</c:formatCode>
                <c:ptCount val="3"/>
                <c:pt idx="0">
                  <c:v>45577</c:v>
                </c:pt>
                <c:pt idx="1">
                  <c:v>45577</c:v>
                </c:pt>
                <c:pt idx="2">
                  <c:v>45608</c:v>
                </c:pt>
              </c:numCache>
            </c:numRef>
          </c:xVal>
          <c:yVal>
            <c:numRef>
              <c:f>Expenses!$E$7:$E$9</c:f>
              <c:numCache>
                <c:formatCode>"$"#,##0.00</c:formatCode>
                <c:ptCount val="3"/>
                <c:pt idx="0">
                  <c:v>1000</c:v>
                </c:pt>
                <c:pt idx="1">
                  <c:v>150</c:v>
                </c:pt>
                <c:pt idx="2">
                  <c:v>200</c:v>
                </c:pt>
              </c:numCache>
            </c:numRef>
          </c:yVal>
          <c:smooth val="0"/>
          <c:extLst>
            <c:ext xmlns:c16="http://schemas.microsoft.com/office/drawing/2014/chart" uri="{C3380CC4-5D6E-409C-BE32-E72D297353CC}">
              <c16:uniqueId val="{00000000-D564-4BEE-A229-A1DF0F5F2C69}"/>
            </c:ext>
          </c:extLst>
        </c:ser>
        <c:dLbls>
          <c:showLegendKey val="0"/>
          <c:showVal val="0"/>
          <c:showCatName val="0"/>
          <c:showSerName val="0"/>
          <c:showPercent val="0"/>
          <c:showBubbleSize val="0"/>
        </c:dLbls>
        <c:axId val="1285545791"/>
        <c:axId val="1285545311"/>
      </c:scatterChart>
      <c:valAx>
        <c:axId val="1285545791"/>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1009]d/mmm/yy;@" sourceLinked="0"/>
        <c:majorTickMark val="none"/>
        <c:minorTickMark val="none"/>
        <c:tickLblPos val="nextTo"/>
        <c:spPr>
          <a:noFill/>
          <a:ln w="25400" cap="flat" cmpd="sng" algn="ctr">
            <a:solidFill>
              <a:schemeClr val="tx1"/>
            </a:solidFill>
            <a:round/>
            <a:tailEnd type="triangle"/>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85545311"/>
        <c:crosses val="autoZero"/>
        <c:crossBetween val="midCat"/>
      </c:valAx>
      <c:valAx>
        <c:axId val="1285545311"/>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00" sourceLinked="1"/>
        <c:majorTickMark val="none"/>
        <c:minorTickMark val="none"/>
        <c:tickLblPos val="nextTo"/>
        <c:spPr>
          <a:noFill/>
          <a:ln w="19050" cap="flat" cmpd="sng" algn="ctr">
            <a:solidFill>
              <a:schemeClr val="tx1"/>
            </a:solidFill>
            <a:round/>
            <a:tailEnd type="triangle"/>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855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6</xdr:col>
      <xdr:colOff>68260</xdr:colOff>
      <xdr:row>14</xdr:row>
      <xdr:rowOff>85724</xdr:rowOff>
    </xdr:from>
    <xdr:to>
      <xdr:col>7</xdr:col>
      <xdr:colOff>430211</xdr:colOff>
      <xdr:row>16</xdr:row>
      <xdr:rowOff>266699</xdr:rowOff>
    </xdr:to>
    <xdr:sp macro="[0]!ShowTable" textlink="">
      <xdr:nvSpPr>
        <xdr:cNvPr id="2" name="Rectangle 1">
          <a:extLst>
            <a:ext uri="{FF2B5EF4-FFF2-40B4-BE49-F238E27FC236}">
              <a16:creationId xmlns:a16="http://schemas.microsoft.com/office/drawing/2014/main" id="{81F44F4F-A278-4FD7-8E97-F211EF799BD4}"/>
            </a:ext>
          </a:extLst>
        </xdr:cNvPr>
        <xdr:cNvSpPr/>
      </xdr:nvSpPr>
      <xdr:spPr>
        <a:xfrm>
          <a:off x="10355260" y="5051424"/>
          <a:ext cx="2736851" cy="917575"/>
        </a:xfrm>
        <a:prstGeom prst="rect">
          <a:avLst/>
        </a:prstGeom>
        <a:solidFill>
          <a:schemeClr val="accent1">
            <a:lumMod val="20000"/>
            <a:lumOff val="80000"/>
          </a:schemeClr>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b="1" kern="1200">
              <a:solidFill>
                <a:sysClr val="windowText" lastClr="000000"/>
              </a:solidFill>
              <a:latin typeface="Franklin Gothic Book" panose="020B0503020102020204" pitchFamily="34" charset="0"/>
            </a:rPr>
            <a:t>View Financial Goals</a:t>
          </a:r>
        </a:p>
      </xdr:txBody>
    </xdr:sp>
    <xdr:clientData/>
  </xdr:twoCellAnchor>
  <xdr:twoCellAnchor>
    <xdr:from>
      <xdr:col>5</xdr:col>
      <xdr:colOff>44450</xdr:colOff>
      <xdr:row>5</xdr:row>
      <xdr:rowOff>57150</xdr:rowOff>
    </xdr:from>
    <xdr:to>
      <xdr:col>5</xdr:col>
      <xdr:colOff>3651249</xdr:colOff>
      <xdr:row>13</xdr:row>
      <xdr:rowOff>234949</xdr:rowOff>
    </xdr:to>
    <xdr:graphicFrame macro="">
      <xdr:nvGraphicFramePr>
        <xdr:cNvPr id="3" name="Chart 2">
          <a:extLst>
            <a:ext uri="{FF2B5EF4-FFF2-40B4-BE49-F238E27FC236}">
              <a16:creationId xmlns:a16="http://schemas.microsoft.com/office/drawing/2014/main" id="{FD6BD0EE-A62F-4A94-9FEE-98A249D2EB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3917950</xdr:colOff>
      <xdr:row>5</xdr:row>
      <xdr:rowOff>25399</xdr:rowOff>
    </xdr:from>
    <xdr:to>
      <xdr:col>7</xdr:col>
      <xdr:colOff>533399</xdr:colOff>
      <xdr:row>13</xdr:row>
      <xdr:rowOff>228600</xdr:rowOff>
    </xdr:to>
    <xdr:graphicFrame macro="">
      <xdr:nvGraphicFramePr>
        <xdr:cNvPr id="4" name="Chart 3">
          <a:extLst>
            <a:ext uri="{FF2B5EF4-FFF2-40B4-BE49-F238E27FC236}">
              <a16:creationId xmlns:a16="http://schemas.microsoft.com/office/drawing/2014/main" id="{2F09AB69-98FE-4220-9F5D-E37D82889A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55562</xdr:colOff>
      <xdr:row>14</xdr:row>
      <xdr:rowOff>63500</xdr:rowOff>
    </xdr:from>
    <xdr:to>
      <xdr:col>5</xdr:col>
      <xdr:colOff>4627562</xdr:colOff>
      <xdr:row>21</xdr:row>
      <xdr:rowOff>233362</xdr:rowOff>
    </xdr:to>
    <xdr:graphicFrame macro="">
      <xdr:nvGraphicFramePr>
        <xdr:cNvPr id="5" name="Chart 4">
          <a:extLst>
            <a:ext uri="{FF2B5EF4-FFF2-40B4-BE49-F238E27FC236}">
              <a16:creationId xmlns:a16="http://schemas.microsoft.com/office/drawing/2014/main" id="{02CAA797-AB87-4A89-B42A-9BEE0172A8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322261</xdr:colOff>
      <xdr:row>3</xdr:row>
      <xdr:rowOff>196850</xdr:rowOff>
    </xdr:from>
    <xdr:to>
      <xdr:col>12</xdr:col>
      <xdr:colOff>85723</xdr:colOff>
      <xdr:row>7</xdr:row>
      <xdr:rowOff>128586</xdr:rowOff>
    </xdr:to>
    <xdr:sp macro="[0]!CombinedMacrosForIncome" textlink="">
      <xdr:nvSpPr>
        <xdr:cNvPr id="3" name="Rectangle 2">
          <a:extLst>
            <a:ext uri="{FF2B5EF4-FFF2-40B4-BE49-F238E27FC236}">
              <a16:creationId xmlns:a16="http://schemas.microsoft.com/office/drawing/2014/main" id="{ADEC0413-A8F3-4420-AE53-44448D6B487A}"/>
            </a:ext>
          </a:extLst>
        </xdr:cNvPr>
        <xdr:cNvSpPr/>
      </xdr:nvSpPr>
      <xdr:spPr>
        <a:xfrm>
          <a:off x="13498512" y="1771650"/>
          <a:ext cx="3649662" cy="579436"/>
        </a:xfrm>
        <a:prstGeom prst="rect">
          <a:avLst/>
        </a:prstGeom>
        <a:solidFill>
          <a:schemeClr val="accent1">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a:solidFill>
                <a:sysClr val="windowText" lastClr="000000"/>
              </a:solidFill>
              <a:latin typeface="Franklin Gothic Book" panose="020B0503020102020204" pitchFamily="34" charset="0"/>
            </a:rPr>
            <a:t>Add</a:t>
          </a:r>
          <a:r>
            <a:rPr lang="en-CA" sz="1400" baseline="0">
              <a:solidFill>
                <a:sysClr val="windowText" lastClr="000000"/>
              </a:solidFill>
              <a:latin typeface="Franklin Gothic Book" panose="020B0503020102020204" pitchFamily="34" charset="0"/>
            </a:rPr>
            <a:t> Income</a:t>
          </a:r>
          <a:endParaRPr lang="en-CA" sz="1400">
            <a:solidFill>
              <a:sysClr val="windowText" lastClr="000000"/>
            </a:solidFill>
            <a:latin typeface="Franklin Gothic Book" panose="020B0503020102020204" pitchFamily="34" charset="0"/>
          </a:endParaRPr>
        </a:p>
      </xdr:txBody>
    </xdr:sp>
    <xdr:clientData/>
  </xdr:twoCellAnchor>
  <xdr:twoCellAnchor>
    <xdr:from>
      <xdr:col>6</xdr:col>
      <xdr:colOff>303211</xdr:colOff>
      <xdr:row>8</xdr:row>
      <xdr:rowOff>144461</xdr:rowOff>
    </xdr:from>
    <xdr:to>
      <xdr:col>12</xdr:col>
      <xdr:colOff>92074</xdr:colOff>
      <xdr:row>12</xdr:row>
      <xdr:rowOff>119062</xdr:rowOff>
    </xdr:to>
    <xdr:sp macro="[0]!ClearIncome" textlink="">
      <xdr:nvSpPr>
        <xdr:cNvPr id="4" name="Rectangle 3">
          <a:extLst>
            <a:ext uri="{FF2B5EF4-FFF2-40B4-BE49-F238E27FC236}">
              <a16:creationId xmlns:a16="http://schemas.microsoft.com/office/drawing/2014/main" id="{8346EF96-DF51-43E1-AB19-4853E199C76F}"/>
            </a:ext>
          </a:extLst>
        </xdr:cNvPr>
        <xdr:cNvSpPr/>
      </xdr:nvSpPr>
      <xdr:spPr>
        <a:xfrm>
          <a:off x="13479462" y="2538412"/>
          <a:ext cx="3675063" cy="660401"/>
        </a:xfrm>
        <a:prstGeom prst="rect">
          <a:avLst/>
        </a:prstGeom>
        <a:solidFill>
          <a:schemeClr val="accent1">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a:solidFill>
                <a:sysClr val="windowText" lastClr="000000"/>
              </a:solidFill>
              <a:latin typeface="Franklin Gothic Book" panose="020B0503020102020204" pitchFamily="34" charset="0"/>
            </a:rPr>
            <a:t>Clear</a:t>
          </a:r>
          <a:r>
            <a:rPr lang="en-CA" sz="1400" baseline="0">
              <a:solidFill>
                <a:sysClr val="windowText" lastClr="000000"/>
              </a:solidFill>
              <a:latin typeface="Franklin Gothic Book" panose="020B0503020102020204" pitchFamily="34" charset="0"/>
            </a:rPr>
            <a:t> Contents</a:t>
          </a:r>
          <a:endParaRPr lang="en-CA" sz="1400">
            <a:solidFill>
              <a:sysClr val="windowText" lastClr="000000"/>
            </a:solidFill>
            <a:latin typeface="Franklin Gothic Book" panose="020B05030201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363454</xdr:colOff>
      <xdr:row>0</xdr:row>
      <xdr:rowOff>269457</xdr:rowOff>
    </xdr:from>
    <xdr:to>
      <xdr:col>11</xdr:col>
      <xdr:colOff>231859</xdr:colOff>
      <xdr:row>1</xdr:row>
      <xdr:rowOff>563980</xdr:rowOff>
    </xdr:to>
    <xdr:sp macro="[0]!ClearExpenses" textlink="">
      <xdr:nvSpPr>
        <xdr:cNvPr id="10" name="Rectangle 9">
          <a:extLst>
            <a:ext uri="{FF2B5EF4-FFF2-40B4-BE49-F238E27FC236}">
              <a16:creationId xmlns:a16="http://schemas.microsoft.com/office/drawing/2014/main" id="{2AE0AD3D-0660-6AED-8443-6CFFED20F9D2}"/>
            </a:ext>
          </a:extLst>
        </xdr:cNvPr>
        <xdr:cNvSpPr/>
      </xdr:nvSpPr>
      <xdr:spPr>
        <a:xfrm>
          <a:off x="14055642" y="269457"/>
          <a:ext cx="3095625" cy="820905"/>
        </a:xfrm>
        <a:prstGeom prst="rect">
          <a:avLst/>
        </a:prstGeom>
        <a:solidFill>
          <a:schemeClr val="accent1">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000" b="0">
              <a:solidFill>
                <a:sysClr val="windowText" lastClr="000000"/>
              </a:solidFill>
              <a:latin typeface="Franklin Gothic Book" panose="020B0503020102020204" pitchFamily="34" charset="0"/>
            </a:rPr>
            <a:t>Clear</a:t>
          </a:r>
          <a:r>
            <a:rPr lang="en-CA" sz="2000" b="0" baseline="0">
              <a:solidFill>
                <a:sysClr val="windowText" lastClr="000000"/>
              </a:solidFill>
              <a:latin typeface="Franklin Gothic Book" panose="020B0503020102020204" pitchFamily="34" charset="0"/>
            </a:rPr>
            <a:t> Contents</a:t>
          </a:r>
          <a:endParaRPr lang="en-CA" sz="2000" b="0">
            <a:solidFill>
              <a:sysClr val="windowText" lastClr="000000"/>
            </a:solidFill>
            <a:latin typeface="Franklin Gothic Book" panose="020B0503020102020204" pitchFamily="34" charset="0"/>
          </a:endParaRPr>
        </a:p>
      </xdr:txBody>
    </xdr:sp>
    <xdr:clientData/>
  </xdr:twoCellAnchor>
  <xdr:twoCellAnchor>
    <xdr:from>
      <xdr:col>6</xdr:col>
      <xdr:colOff>375986</xdr:colOff>
      <xdr:row>1</xdr:row>
      <xdr:rowOff>769271</xdr:rowOff>
    </xdr:from>
    <xdr:to>
      <xdr:col>11</xdr:col>
      <xdr:colOff>280485</xdr:colOff>
      <xdr:row>6</xdr:row>
      <xdr:rowOff>12534</xdr:rowOff>
    </xdr:to>
    <xdr:sp macro="[0]!CombineDataInputAndCopying" textlink="">
      <xdr:nvSpPr>
        <xdr:cNvPr id="3" name="Rectangle 2">
          <a:extLst>
            <a:ext uri="{FF2B5EF4-FFF2-40B4-BE49-F238E27FC236}">
              <a16:creationId xmlns:a16="http://schemas.microsoft.com/office/drawing/2014/main" id="{2E26618F-186B-5DB6-A954-3019F1448AAD}"/>
            </a:ext>
          </a:extLst>
        </xdr:cNvPr>
        <xdr:cNvSpPr/>
      </xdr:nvSpPr>
      <xdr:spPr>
        <a:xfrm>
          <a:off x="14074440" y="1308185"/>
          <a:ext cx="3163052" cy="847474"/>
        </a:xfrm>
        <a:prstGeom prst="rect">
          <a:avLst/>
        </a:prstGeom>
        <a:solidFill>
          <a:schemeClr val="accent1">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000" b="0">
              <a:solidFill>
                <a:schemeClr val="tx1"/>
              </a:solidFill>
              <a:latin typeface="Franklin Gothic Book" panose="020B0503020102020204" pitchFamily="34" charset="0"/>
            </a:rPr>
            <a:t>Add One Time Expense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355600</xdr:colOff>
      <xdr:row>0</xdr:row>
      <xdr:rowOff>241300</xdr:rowOff>
    </xdr:from>
    <xdr:to>
      <xdr:col>11</xdr:col>
      <xdr:colOff>330200</xdr:colOff>
      <xdr:row>1</xdr:row>
      <xdr:rowOff>812800</xdr:rowOff>
    </xdr:to>
    <xdr:sp macro="" textlink="">
      <xdr:nvSpPr>
        <xdr:cNvPr id="2" name="Rectangle 1">
          <a:extLst>
            <a:ext uri="{FF2B5EF4-FFF2-40B4-BE49-F238E27FC236}">
              <a16:creationId xmlns:a16="http://schemas.microsoft.com/office/drawing/2014/main" id="{45D5E304-423D-60D5-9DFE-262F3A05E7E4}"/>
            </a:ext>
          </a:extLst>
        </xdr:cNvPr>
        <xdr:cNvSpPr/>
      </xdr:nvSpPr>
      <xdr:spPr>
        <a:xfrm>
          <a:off x="16116300" y="241300"/>
          <a:ext cx="3860800" cy="1016000"/>
        </a:xfrm>
        <a:prstGeom prst="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kern="1200">
              <a:solidFill>
                <a:sysClr val="windowText" lastClr="000000"/>
              </a:solidFill>
              <a:latin typeface="Franklin Gothic Book" panose="020B0503020102020204" pitchFamily="34" charset="0"/>
            </a:rPr>
            <a:t>Add Financial Goals</a:t>
          </a:r>
        </a:p>
      </xdr:txBody>
    </xdr:sp>
    <xdr:clientData/>
  </xdr:twoCellAnchor>
  <xdr:twoCellAnchor>
    <xdr:from>
      <xdr:col>5</xdr:col>
      <xdr:colOff>355600</xdr:colOff>
      <xdr:row>0</xdr:row>
      <xdr:rowOff>241300</xdr:rowOff>
    </xdr:from>
    <xdr:to>
      <xdr:col>11</xdr:col>
      <xdr:colOff>330200</xdr:colOff>
      <xdr:row>1</xdr:row>
      <xdr:rowOff>812800</xdr:rowOff>
    </xdr:to>
    <xdr:sp macro="[0]!ShowAddFinancialGoals" textlink="">
      <xdr:nvSpPr>
        <xdr:cNvPr id="3" name="Rectangle 2">
          <a:extLst>
            <a:ext uri="{FF2B5EF4-FFF2-40B4-BE49-F238E27FC236}">
              <a16:creationId xmlns:a16="http://schemas.microsoft.com/office/drawing/2014/main" id="{0D5FEF5A-5FCA-46D9-8694-F60D52667006}"/>
            </a:ext>
          </a:extLst>
        </xdr:cNvPr>
        <xdr:cNvSpPr/>
      </xdr:nvSpPr>
      <xdr:spPr>
        <a:xfrm>
          <a:off x="16116300" y="241300"/>
          <a:ext cx="3860800" cy="1016000"/>
        </a:xfrm>
        <a:prstGeom prst="rect">
          <a:avLst/>
        </a:prstGeom>
        <a:solidFill>
          <a:schemeClr val="accent1">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kern="1200">
              <a:solidFill>
                <a:sysClr val="windowText" lastClr="000000"/>
              </a:solidFill>
              <a:latin typeface="Franklin Gothic Book" panose="020B0503020102020204" pitchFamily="34" charset="0"/>
            </a:rPr>
            <a:t>Add Financial Goals</a:t>
          </a:r>
        </a:p>
      </xdr:txBody>
    </xdr:sp>
    <xdr:clientData/>
  </xdr:twoCellAnchor>
  <xdr:twoCellAnchor>
    <xdr:from>
      <xdr:col>5</xdr:col>
      <xdr:colOff>347662</xdr:colOff>
      <xdr:row>2</xdr:row>
      <xdr:rowOff>55562</xdr:rowOff>
    </xdr:from>
    <xdr:to>
      <xdr:col>11</xdr:col>
      <xdr:colOff>322262</xdr:colOff>
      <xdr:row>6</xdr:row>
      <xdr:rowOff>80962</xdr:rowOff>
    </xdr:to>
    <xdr:sp macro="[0]!ShowUpdateFinancialGoals" textlink="">
      <xdr:nvSpPr>
        <xdr:cNvPr id="4" name="Rectangle 4">
          <a:extLst>
            <a:ext uri="{FF2B5EF4-FFF2-40B4-BE49-F238E27FC236}">
              <a16:creationId xmlns:a16="http://schemas.microsoft.com/office/drawing/2014/main" id="{B9AD4051-6E72-4938-AA2F-E96AA0F21E38}"/>
            </a:ext>
          </a:extLst>
        </xdr:cNvPr>
        <xdr:cNvSpPr/>
      </xdr:nvSpPr>
      <xdr:spPr>
        <a:xfrm>
          <a:off x="17670462" y="1376362"/>
          <a:ext cx="3860800" cy="1016000"/>
        </a:xfrm>
        <a:prstGeom prst="rect">
          <a:avLst/>
        </a:prstGeom>
        <a:solidFill>
          <a:schemeClr val="accent1">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kern="1200">
              <a:solidFill>
                <a:sysClr val="windowText" lastClr="000000"/>
              </a:solidFill>
              <a:latin typeface="Franklin Gothic Book" panose="020B0503020102020204" pitchFamily="34" charset="0"/>
            </a:rPr>
            <a:t>Update</a:t>
          </a:r>
          <a:r>
            <a:rPr lang="en-CA" sz="1800" kern="1200" baseline="0">
              <a:solidFill>
                <a:sysClr val="windowText" lastClr="000000"/>
              </a:solidFill>
              <a:latin typeface="Franklin Gothic Book" panose="020B0503020102020204" pitchFamily="34" charset="0"/>
            </a:rPr>
            <a:t> Financial Goal Progress</a:t>
          </a:r>
          <a:endParaRPr lang="en-CA" sz="1800" kern="1200">
            <a:solidFill>
              <a:sysClr val="windowText" lastClr="000000"/>
            </a:solidFill>
            <a:latin typeface="Franklin Gothic Book" panose="020B05030201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104300</xdr:colOff>
      <xdr:row>7</xdr:row>
      <xdr:rowOff>7368</xdr:rowOff>
    </xdr:from>
    <xdr:to>
      <xdr:col>12</xdr:col>
      <xdr:colOff>1235964</xdr:colOff>
      <xdr:row>31</xdr:row>
      <xdr:rowOff>181769</xdr:rowOff>
    </xdr:to>
    <xdr:graphicFrame macro="">
      <xdr:nvGraphicFramePr>
        <xdr:cNvPr id="4" name="Chart 3">
          <a:extLst>
            <a:ext uri="{FF2B5EF4-FFF2-40B4-BE49-F238E27FC236}">
              <a16:creationId xmlns:a16="http://schemas.microsoft.com/office/drawing/2014/main" id="{31605B37-5707-496C-990F-5A4D0D9457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1579137</xdr:colOff>
      <xdr:row>8</xdr:row>
      <xdr:rowOff>132870</xdr:rowOff>
    </xdr:from>
    <xdr:to>
      <xdr:col>19</xdr:col>
      <xdr:colOff>420643</xdr:colOff>
      <xdr:row>18</xdr:row>
      <xdr:rowOff>49771</xdr:rowOff>
    </xdr:to>
    <mc:AlternateContent xmlns:mc="http://schemas.openxmlformats.org/markup-compatibility/2006" xmlns:tsle="http://schemas.microsoft.com/office/drawing/2012/timeslicer">
      <mc:Choice Requires="tsle">
        <xdr:graphicFrame macro="">
          <xdr:nvGraphicFramePr>
            <xdr:cNvPr id="2" name="Date 3">
              <a:extLst>
                <a:ext uri="{FF2B5EF4-FFF2-40B4-BE49-F238E27FC236}">
                  <a16:creationId xmlns:a16="http://schemas.microsoft.com/office/drawing/2014/main" id="{69BAA3F9-3309-40D4-915E-E28151C2036A}"/>
                </a:ext>
              </a:extLst>
            </xdr:cNvPr>
            <xdr:cNvGraphicFramePr/>
          </xdr:nvGraphicFramePr>
          <xdr:xfrm>
            <a:off x="0" y="0"/>
            <a:ext cx="0" cy="0"/>
          </xdr:xfrm>
          <a:graphic>
            <a:graphicData uri="http://schemas.microsoft.com/office/drawing/2012/timeslicer">
              <tsle:timeslicer name="Date 3"/>
            </a:graphicData>
          </a:graphic>
        </xdr:graphicFrame>
      </mc:Choice>
      <mc:Fallback xmlns="">
        <xdr:sp macro="" textlink="">
          <xdr:nvSpPr>
            <xdr:cNvPr id="0" name=""/>
            <xdr:cNvSpPr>
              <a:spLocks noTextEdit="1"/>
            </xdr:cNvSpPr>
          </xdr:nvSpPr>
          <xdr:spPr>
            <a:xfrm>
              <a:off x="17932623" y="3030616"/>
              <a:ext cx="5119956" cy="1758715"/>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twoCellAnchor>
    <xdr:from>
      <xdr:col>1</xdr:col>
      <xdr:colOff>254895</xdr:colOff>
      <xdr:row>6</xdr:row>
      <xdr:rowOff>112085</xdr:rowOff>
    </xdr:from>
    <xdr:to>
      <xdr:col>4</xdr:col>
      <xdr:colOff>1489119</xdr:colOff>
      <xdr:row>31</xdr:row>
      <xdr:rowOff>147570</xdr:rowOff>
    </xdr:to>
    <xdr:graphicFrame macro="">
      <xdr:nvGraphicFramePr>
        <xdr:cNvPr id="3" name="Chart 2">
          <a:extLst>
            <a:ext uri="{FF2B5EF4-FFF2-40B4-BE49-F238E27FC236}">
              <a16:creationId xmlns:a16="http://schemas.microsoft.com/office/drawing/2014/main" id="{BD625943-6B0F-43F5-B0D6-DDD5F76A8F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369093</xdr:colOff>
      <xdr:row>34</xdr:row>
      <xdr:rowOff>190497</xdr:rowOff>
    </xdr:from>
    <xdr:to>
      <xdr:col>7</xdr:col>
      <xdr:colOff>11905</xdr:colOff>
      <xdr:row>50</xdr:row>
      <xdr:rowOff>11905</xdr:rowOff>
    </xdr:to>
    <xdr:graphicFrame macro="">
      <xdr:nvGraphicFramePr>
        <xdr:cNvPr id="10" name="Chart 9">
          <a:extLst>
            <a:ext uri="{FF2B5EF4-FFF2-40B4-BE49-F238E27FC236}">
              <a16:creationId xmlns:a16="http://schemas.microsoft.com/office/drawing/2014/main" id="{D351973A-339B-9258-92C9-C6E760018C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516730</xdr:colOff>
      <xdr:row>34</xdr:row>
      <xdr:rowOff>145256</xdr:rowOff>
    </xdr:from>
    <xdr:to>
      <xdr:col>21</xdr:col>
      <xdr:colOff>488155</xdr:colOff>
      <xdr:row>50</xdr:row>
      <xdr:rowOff>83343</xdr:rowOff>
    </xdr:to>
    <xdr:graphicFrame macro="">
      <xdr:nvGraphicFramePr>
        <xdr:cNvPr id="13" name="Chart 12">
          <a:extLst>
            <a:ext uri="{FF2B5EF4-FFF2-40B4-BE49-F238E27FC236}">
              <a16:creationId xmlns:a16="http://schemas.microsoft.com/office/drawing/2014/main" id="{A31DDFC2-1879-1BC4-80EE-70F4DC1A39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4</xdr:col>
      <xdr:colOff>1933573</xdr:colOff>
      <xdr:row>9</xdr:row>
      <xdr:rowOff>38100</xdr:rowOff>
    </xdr:from>
    <xdr:to>
      <xdr:col>6</xdr:col>
      <xdr:colOff>2094673</xdr:colOff>
      <xdr:row>18</xdr:row>
      <xdr:rowOff>133350</xdr:rowOff>
    </xdr:to>
    <mc:AlternateContent xmlns:mc="http://schemas.openxmlformats.org/markup-compatibility/2006" xmlns:tsle="http://schemas.microsoft.com/office/drawing/2012/timeslicer">
      <mc:Choice Requires="tsle">
        <xdr:graphicFrame macro="">
          <xdr:nvGraphicFramePr>
            <xdr:cNvPr id="7" name="Date">
              <a:extLst>
                <a:ext uri="{FF2B5EF4-FFF2-40B4-BE49-F238E27FC236}">
                  <a16:creationId xmlns:a16="http://schemas.microsoft.com/office/drawing/2014/main" id="{E716F76D-7216-0B17-19BF-2DE1BCF9A80E}"/>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8924923" y="3200400"/>
              <a:ext cx="5076000" cy="1885950"/>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twoCellAnchor editAs="oneCell">
    <xdr:from>
      <xdr:col>4</xdr:col>
      <xdr:colOff>1885950</xdr:colOff>
      <xdr:row>21</xdr:row>
      <xdr:rowOff>171451</xdr:rowOff>
    </xdr:from>
    <xdr:to>
      <xdr:col>6</xdr:col>
      <xdr:colOff>2190750</xdr:colOff>
      <xdr:row>31</xdr:row>
      <xdr:rowOff>171451</xdr:rowOff>
    </xdr:to>
    <mc:AlternateContent xmlns:mc="http://schemas.openxmlformats.org/markup-compatibility/2006" xmlns:a14="http://schemas.microsoft.com/office/drawing/2010/main">
      <mc:Choice Requires="a14">
        <xdr:graphicFrame macro="">
          <xdr:nvGraphicFramePr>
            <xdr:cNvPr id="9" name="Type">
              <a:extLst>
                <a:ext uri="{FF2B5EF4-FFF2-40B4-BE49-F238E27FC236}">
                  <a16:creationId xmlns:a16="http://schemas.microsoft.com/office/drawing/2014/main" id="{87F6BE77-08E1-3736-329A-946B0EAE4E7E}"/>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8877300" y="5810251"/>
              <a:ext cx="5219700" cy="215265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1581150</xdr:colOff>
      <xdr:row>22</xdr:row>
      <xdr:rowOff>57151</xdr:rowOff>
    </xdr:from>
    <xdr:to>
      <xdr:col>19</xdr:col>
      <xdr:colOff>590550</xdr:colOff>
      <xdr:row>31</xdr:row>
      <xdr:rowOff>38101</xdr:rowOff>
    </xdr:to>
    <mc:AlternateContent xmlns:mc="http://schemas.openxmlformats.org/markup-compatibility/2006" xmlns:a14="http://schemas.microsoft.com/office/drawing/2010/main">
      <mc:Choice Requires="a14">
        <xdr:graphicFrame macro="">
          <xdr:nvGraphicFramePr>
            <xdr:cNvPr id="11" name="Type 1">
              <a:extLst>
                <a:ext uri="{FF2B5EF4-FFF2-40B4-BE49-F238E27FC236}">
                  <a16:creationId xmlns:a16="http://schemas.microsoft.com/office/drawing/2014/main" id="{EA025CD5-4A07-7F3F-8473-298EAD6B865B}"/>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22840950" y="5962651"/>
              <a:ext cx="5314950" cy="18669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xdr:col>
      <xdr:colOff>31749</xdr:colOff>
      <xdr:row>2</xdr:row>
      <xdr:rowOff>146050</xdr:rowOff>
    </xdr:from>
    <xdr:to>
      <xdr:col>3</xdr:col>
      <xdr:colOff>82549</xdr:colOff>
      <xdr:row>7</xdr:row>
      <xdr:rowOff>57149</xdr:rowOff>
    </xdr:to>
    <xdr:sp macro="[0]!ShowFinancialAdviceForm" textlink="">
      <xdr:nvSpPr>
        <xdr:cNvPr id="2" name="Rectangle 1">
          <a:extLst>
            <a:ext uri="{FF2B5EF4-FFF2-40B4-BE49-F238E27FC236}">
              <a16:creationId xmlns:a16="http://schemas.microsoft.com/office/drawing/2014/main" id="{5B13E048-786C-25A1-2F44-9D1F63070D7F}"/>
            </a:ext>
          </a:extLst>
        </xdr:cNvPr>
        <xdr:cNvSpPr/>
      </xdr:nvSpPr>
      <xdr:spPr>
        <a:xfrm>
          <a:off x="203200" y="1619250"/>
          <a:ext cx="4152900" cy="831850"/>
        </a:xfrm>
        <a:prstGeom prst="rect">
          <a:avLst/>
        </a:prstGeom>
        <a:solidFill>
          <a:schemeClr val="accent1">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a:solidFill>
                <a:sysClr val="windowText" lastClr="000000"/>
              </a:solidFill>
            </a:rPr>
            <a:t>View</a:t>
          </a:r>
          <a:r>
            <a:rPr lang="en-CA" sz="1600" baseline="0">
              <a:solidFill>
                <a:sysClr val="windowText" lastClr="000000"/>
              </a:solidFill>
            </a:rPr>
            <a:t> Financial Advice</a:t>
          </a:r>
          <a:endParaRPr lang="en-CA" sz="1600">
            <a:solidFill>
              <a:sysClr val="windowText" lastClr="00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5</xdr:row>
      <xdr:rowOff>0</xdr:rowOff>
    </xdr:from>
    <xdr:to>
      <xdr:col>7</xdr:col>
      <xdr:colOff>3213100</xdr:colOff>
      <xdr:row>28</xdr:row>
      <xdr:rowOff>0</xdr:rowOff>
    </xdr:to>
    <xdr:graphicFrame macro="">
      <xdr:nvGraphicFramePr>
        <xdr:cNvPr id="4" name="Chart 3">
          <a:extLst>
            <a:ext uri="{FF2B5EF4-FFF2-40B4-BE49-F238E27FC236}">
              <a16:creationId xmlns:a16="http://schemas.microsoft.com/office/drawing/2014/main" id="{153D818D-C53E-4564-B7AF-4D7C9C7D59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xdr:row>
      <xdr:rowOff>93662</xdr:rowOff>
    </xdr:from>
    <xdr:to>
      <xdr:col>3</xdr:col>
      <xdr:colOff>2120900</xdr:colOff>
      <xdr:row>28</xdr:row>
      <xdr:rowOff>17462</xdr:rowOff>
    </xdr:to>
    <xdr:graphicFrame macro="">
      <xdr:nvGraphicFramePr>
        <xdr:cNvPr id="2" name="Chart 1">
          <a:extLst>
            <a:ext uri="{FF2B5EF4-FFF2-40B4-BE49-F238E27FC236}">
              <a16:creationId xmlns:a16="http://schemas.microsoft.com/office/drawing/2014/main" id="{4DE45FDC-E7F6-454D-A9A6-8E143FA39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wner" refreshedDate="45617.887338310182" createdVersion="8" refreshedVersion="8" minRefreshableVersion="3" recordCount="3" xr:uid="{5029322F-455F-4F93-9BCA-B995979E49D2}">
  <cacheSource type="worksheet">
    <worksheetSource name="Table2"/>
  </cacheSource>
  <cacheFields count="8">
    <cacheField name="Date" numFmtId="164">
      <sharedItems containsSemiMixedTypes="0" containsNonDate="0" containsDate="1" containsString="0" minDate="2021-03-10T00:00:00" maxDate="2024-12-12T00:00:00" count="5">
        <d v="2024-10-12T00:00:00"/>
        <d v="2024-11-12T00:00:00"/>
        <d v="2024-12-11T00:00:00" u="1"/>
        <d v="2023-08-11T00:00:00" u="1"/>
        <d v="2021-03-10T00:00:00" u="1"/>
      </sharedItems>
      <fieldGroup par="7"/>
    </cacheField>
    <cacheField name="Expense" numFmtId="0">
      <sharedItems/>
    </cacheField>
    <cacheField name="Type" numFmtId="0">
      <sharedItems containsBlank="1" count="5">
        <s v="Living Expenses"/>
        <s v="Personal Spending"/>
        <m u="1"/>
        <s v="School Expenses" u="1"/>
        <s v="Other" u="1"/>
      </sharedItems>
    </cacheField>
    <cacheField name="Ammount" numFmtId="165">
      <sharedItems containsSemiMixedTypes="0" containsString="0" containsNumber="1" containsInteger="1" minValue="150" maxValue="1000"/>
    </cacheField>
    <cacheField name="Details" numFmtId="0">
      <sharedItems containsNonDate="0" containsString="0" containsBlank="1"/>
    </cacheField>
    <cacheField name="Months (Date)" numFmtId="0" databaseField="0">
      <fieldGroup base="0">
        <rangePr groupBy="months" startDate="2024-10-12T00:00:00" endDate="2024-11-13T00:00:00"/>
        <groupItems count="14">
          <s v="&lt;2024-10-12"/>
          <s v="Jan"/>
          <s v="Feb"/>
          <s v="Mar"/>
          <s v="Apr"/>
          <s v="May"/>
          <s v="Jun"/>
          <s v="Jul"/>
          <s v="Aug"/>
          <s v="Sep"/>
          <s v="Oct"/>
          <s v="Nov"/>
          <s v="Dec"/>
          <s v="&gt;2024-11-13"/>
        </groupItems>
      </fieldGroup>
    </cacheField>
    <cacheField name="Quarters (Date)" numFmtId="0" databaseField="0">
      <fieldGroup base="0">
        <rangePr groupBy="quarters" startDate="2024-10-12T00:00:00" endDate="2024-11-13T00:00:00"/>
        <groupItems count="6">
          <s v="&lt;2024-10-12"/>
          <s v="Qtr1"/>
          <s v="Qtr2"/>
          <s v="Qtr3"/>
          <s v="Qtr4"/>
          <s v="&gt;2024-11-13"/>
        </groupItems>
      </fieldGroup>
    </cacheField>
    <cacheField name="Years (Date)" numFmtId="0" databaseField="0">
      <fieldGroup base="0">
        <rangePr groupBy="years" startDate="2024-10-12T00:00:00" endDate="2024-11-13T00:00:00"/>
        <groupItems count="3">
          <s v="&lt;2024-10-12"/>
          <s v="2024"/>
          <s v="&gt;2024-11-13"/>
        </groupItems>
      </fieldGroup>
    </cacheField>
  </cacheFields>
  <extLst>
    <ext xmlns:x14="http://schemas.microsoft.com/office/spreadsheetml/2009/9/main" uri="{725AE2AE-9491-48be-B2B4-4EB974FC3084}">
      <x14:pivotCacheDefinition pivotCacheId="145199421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a Phillips" refreshedDate="45687.654043518516" createdVersion="8" refreshedVersion="8" minRefreshableVersion="3" recordCount="7" xr:uid="{24E1A54E-592F-41A8-A3EF-38B9B5BABBEA}">
  <cacheSource type="worksheet">
    <worksheetSource name="Table1"/>
  </cacheSource>
  <cacheFields count="5">
    <cacheField name="Date" numFmtId="164">
      <sharedItems containsNonDate="0" containsDate="1" containsString="0" containsBlank="1" minDate="2010-02-12T00:00:00" maxDate="2025-04-03T00:00:00" count="15">
        <d v="2025-01-11T00:00:00"/>
        <d v="2025-02-11T00:00:00"/>
        <d v="2025-03-11T00:00:00"/>
        <d v="2025-02-10T00:00:00"/>
        <d v="2025-04-02T00:00:00"/>
        <m/>
        <d v="2024-12-11T00:00:00" u="1"/>
        <d v="2022-10-12T00:00:00" u="1"/>
        <d v="2023-01-01T00:00:00" u="1"/>
        <d v="2022-02-10T00:00:00" u="1"/>
        <d v="2024-01-01T00:00:00" u="1"/>
        <d v="2023-09-08T00:00:00" u="1"/>
        <d v="2024-11-05T00:00:00" u="1"/>
        <d v="2024-08-11T00:00:00" u="1"/>
        <d v="2010-02-12T00:00:00" u="1"/>
      </sharedItems>
    </cacheField>
    <cacheField name="Expense" numFmtId="0">
      <sharedItems containsBlank="1"/>
    </cacheField>
    <cacheField name="Type" numFmtId="0">
      <sharedItems containsBlank="1" containsMixedTypes="1" containsNumber="1" containsInteger="1" minValue="200" maxValue="200" count="5">
        <s v="Co-op Salary"/>
        <s v="Gifts"/>
        <s v="Investment"/>
        <m/>
        <n v="200" u="1"/>
      </sharedItems>
    </cacheField>
    <cacheField name="Ammount" numFmtId="165">
      <sharedItems containsString="0" containsBlank="1" containsNumber="1" containsInteger="1" minValue="200" maxValue="2000"/>
    </cacheField>
    <cacheField name="Details" numFmtId="0">
      <sharedItems containsNonDate="0" containsString="0" containsBlank="1"/>
    </cacheField>
  </cacheFields>
  <extLst>
    <ext xmlns:x14="http://schemas.microsoft.com/office/spreadsheetml/2009/9/main" uri="{725AE2AE-9491-48be-B2B4-4EB974FC3084}">
      <x14:pivotCacheDefinition pivotCacheId="12329559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s v="Car"/>
    <x v="0"/>
    <n v="1000"/>
    <m/>
  </r>
  <r>
    <x v="0"/>
    <s v="Dog"/>
    <x v="1"/>
    <n v="150"/>
    <m/>
  </r>
  <r>
    <x v="1"/>
    <s v="Cat"/>
    <x v="1"/>
    <n v="20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s v="Salary"/>
    <x v="0"/>
    <n v="2000"/>
    <m/>
  </r>
  <r>
    <x v="1"/>
    <s v="Salary"/>
    <x v="0"/>
    <n v="2000"/>
    <m/>
  </r>
  <r>
    <x v="2"/>
    <s v="Salary"/>
    <x v="0"/>
    <n v="2000"/>
    <m/>
  </r>
  <r>
    <x v="3"/>
    <s v="Gift"/>
    <x v="1"/>
    <n v="200"/>
    <m/>
  </r>
  <r>
    <x v="4"/>
    <s v="ROI"/>
    <x v="2"/>
    <n v="1500"/>
    <m/>
  </r>
  <r>
    <x v="5"/>
    <m/>
    <x v="3"/>
    <m/>
    <m/>
  </r>
  <r>
    <x v="5"/>
    <m/>
    <x v="3"/>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19AA095-61D4-4CA7-8301-01357C65212A}" name="IncomePivot" cacheId="6"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9">
  <location ref="A3:B6" firstHeaderRow="1" firstDataRow="1" firstDataCol="1" rowPageCount="1" colPageCount="1"/>
  <pivotFields count="5">
    <pivotField axis="axisRow" showAll="0">
      <items count="16">
        <item m="1" x="14"/>
        <item m="1" x="9"/>
        <item m="1" x="7"/>
        <item m="1" x="8"/>
        <item m="1" x="11"/>
        <item m="1" x="10"/>
        <item m="1" x="13"/>
        <item m="1" x="12"/>
        <item m="1" x="6"/>
        <item x="5"/>
        <item x="0"/>
        <item x="1"/>
        <item x="2"/>
        <item x="3"/>
        <item x="4"/>
        <item t="default"/>
      </items>
    </pivotField>
    <pivotField showAll="0"/>
    <pivotField axis="axisPage" showAll="0">
      <items count="6">
        <item m="1" x="4"/>
        <item x="3"/>
        <item x="0"/>
        <item x="1"/>
        <item x="2"/>
        <item t="default"/>
      </items>
    </pivotField>
    <pivotField dataField="1" showAll="0"/>
    <pivotField showAll="0"/>
  </pivotFields>
  <rowFields count="1">
    <field x="0"/>
  </rowFields>
  <rowItems count="3">
    <i>
      <x v="11"/>
    </i>
    <i>
      <x v="13"/>
    </i>
    <i t="grand">
      <x/>
    </i>
  </rowItems>
  <colItems count="1">
    <i/>
  </colItems>
  <pageFields count="1">
    <pageField fld="2" hier="-1"/>
  </pageFields>
  <dataFields count="1">
    <dataField name="Sum of Ammount" fld="3" baseField="0" baseItem="0"/>
  </dataFields>
  <chartFormats count="4">
    <chartFormat chart="3"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0" type="dateBetween" evalOrder="-1" id="8" name="Date">
      <autoFilter ref="A1">
        <filterColumn colId="0">
          <customFilters and="1">
            <customFilter operator="greaterThanOrEqual" val="45689"/>
            <customFilter operator="lessThanOrEqual" val="457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F9F562-11B2-4C52-9BCA-3E84787CAB06}" name="Expenses Pivot"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A3:B6" firstHeaderRow="1" firstDataRow="1" firstDataCol="1" rowPageCount="1" colPageCount="1"/>
  <pivotFields count="8">
    <pivotField axis="axisRow" numFmtId="164" showAll="0">
      <items count="6">
        <item m="1" x="4"/>
        <item m="1" x="3"/>
        <item x="0"/>
        <item x="1"/>
        <item m="1" x="2"/>
        <item t="default"/>
      </items>
    </pivotField>
    <pivotField showAll="0"/>
    <pivotField axis="axisPage" showAll="0">
      <items count="6">
        <item m="1" x="4"/>
        <item x="1"/>
        <item m="1" x="2"/>
        <item m="1" x="3"/>
        <item x="0"/>
        <item t="default"/>
      </items>
    </pivotField>
    <pivotField dataField="1" numFmtId="165"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1"/>
        <item sd="0" x="2"/>
        <item sd="0" x="3"/>
        <item sd="0" x="4"/>
        <item x="0"/>
        <item x="5"/>
        <item t="default"/>
      </items>
    </pivotField>
    <pivotField axis="axisRow" showAll="0">
      <items count="4">
        <item sd="0" x="1"/>
        <item x="0"/>
        <item x="2"/>
        <item t="default"/>
      </items>
    </pivotField>
  </pivotFields>
  <rowFields count="4">
    <field x="5"/>
    <field x="7"/>
    <field x="6"/>
    <field x="0"/>
  </rowFields>
  <rowItems count="3">
    <i>
      <x v="10"/>
    </i>
    <i>
      <x v="11"/>
    </i>
    <i t="grand">
      <x/>
    </i>
  </rowItems>
  <colItems count="1">
    <i/>
  </colItems>
  <pageFields count="1">
    <pageField fld="2" hier="-1"/>
  </pageFields>
  <dataFields count="1">
    <dataField name="Sum of Ammount" fld="3" baseField="0" baseItem="0"/>
  </dataFields>
  <chartFormats count="1">
    <chartFormat chart="3" format="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0" type="dateBetween" evalOrder="-1" id="9" name="Date">
      <autoFilter ref="A1">
        <filterColumn colId="0">
          <customFilters and="1">
            <customFilter operator="greaterThanOrEqual" val="44197"/>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 xr10:uid="{EFA5CFD9-B9E3-4A67-BDEA-932B97E5E2CB}" sourceName="Type">
  <pivotTables>
    <pivotTable tabId="17" name="Expenses Pivot"/>
  </pivotTables>
  <data>
    <tabular pivotCacheId="1451994214">
      <items count="5">
        <i x="0" s="1"/>
        <i x="1" s="1"/>
        <i x="4" s="1" nd="1"/>
        <i x="3" s="1" nd="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F684C4D5-C440-4398-AF35-970BF3AA5776}" sourceName="Type">
  <pivotTables>
    <pivotTable tabId="15" name="IncomePivot"/>
  </pivotTables>
  <data>
    <tabular pivotCacheId="1232955972">
      <items count="5">
        <i x="0" s="1"/>
        <i x="1" s="1"/>
        <i x="2" s="1"/>
        <i x="4" s="1" nd="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03FE43AF-0130-4680-9CD2-C9180A2410E0}" cache="Slicer_Type1" caption="Type" columnCount="2" style="SlicerStyleDark1 2" rowHeight="241300"/>
  <slicer name="Type 1" xr10:uid="{DD1A9695-45A1-4B85-A5DF-5C00EB78EC42}" cache="Slicer_Type" caption="Type" columnCount="2" style="SlicerStyleDark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6EF26CE-049F-433B-8A4B-AAEDF5B98CBB}" name="Table1" displayName="Table1" ref="B6:F13" totalsRowShown="0" headerRowDxfId="25" dataDxfId="23" headerRowBorderDxfId="24" tableBorderDxfId="22">
  <autoFilter ref="B6:F13" xr:uid="{36EF26CE-049F-433B-8A4B-AAEDF5B98CBB}"/>
  <sortState xmlns:xlrd2="http://schemas.microsoft.com/office/spreadsheetml/2017/richdata2" ref="B7:F7">
    <sortCondition descending="1" ref="C6:C7"/>
  </sortState>
  <tableColumns count="5">
    <tableColumn id="1" xr3:uid="{8CD04079-0E25-48F4-8DDE-C2F48AD274C8}" name="Date" dataDxfId="21"/>
    <tableColumn id="2" xr3:uid="{E78A5023-848A-4FB9-B059-7591CACBA98A}" name="Expense" dataDxfId="20"/>
    <tableColumn id="3" xr3:uid="{7DCC7523-8042-40D5-9BC0-4F3E6D660113}" name="Type" dataDxfId="19"/>
    <tableColumn id="4" xr3:uid="{AF1AD371-9DBA-432F-ABA6-629DB31D7840}" name="Ammount" dataDxfId="18"/>
    <tableColumn id="5" xr3:uid="{BB386E81-A815-43D4-97B3-E1ED294C64FA}" name="Details"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BCC780-7004-469E-9ADA-26A3B96C0463}" name="Table2" displayName="Table2" ref="B6:F9" totalsRowShown="0" headerRowDxfId="16" dataDxfId="14" headerRowBorderDxfId="15" tableBorderDxfId="13">
  <autoFilter ref="B6:F9" xr:uid="{5ABCC780-7004-469E-9ADA-26A3B96C0463}"/>
  <tableColumns count="5">
    <tableColumn id="1" xr3:uid="{31FAFF8D-5400-4FE3-9832-615C7AECECFE}" name="Date" dataDxfId="12"/>
    <tableColumn id="2" xr3:uid="{9444DE44-ABBD-41AF-868F-D09D27148665}" name="Expense" dataDxfId="11"/>
    <tableColumn id="3" xr3:uid="{2087CA9B-4FB4-4CA6-A8F5-A812E28A9F29}" name="Type" dataDxfId="10"/>
    <tableColumn id="4" xr3:uid="{A23F90B1-E6CF-47FA-82A8-9629B8885463}" name="Ammount" dataDxfId="9"/>
    <tableColumn id="5" xr3:uid="{1BEB0474-1A4C-4B34-B061-6E8C2B7FB64A}" name="Details" dataDxfId="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A4476E2-CA83-4D1D-B912-DF6156FEBA8C}" name="Table3" displayName="Table3" ref="B6:E9" totalsRowShown="0" headerRowDxfId="7" dataDxfId="5" headerRowBorderDxfId="6" tableBorderDxfId="4">
  <autoFilter ref="B6:E9" xr:uid="{0A4476E2-CA83-4D1D-B912-DF6156FEBA8C}"/>
  <tableColumns count="4">
    <tableColumn id="1" xr3:uid="{32591632-6285-4F59-A781-EA248B44C109}" name="Goal" dataDxfId="3"/>
    <tableColumn id="2" xr3:uid="{8A71E1BC-AEB3-470B-B304-71FA7ECB99B9}" name="Start Date" dataDxfId="2"/>
    <tableColumn id="3" xr3:uid="{4057C2A2-6DE9-4387-ABA0-F5C90B7CC02C}" name="Progress" dataDxfId="1"/>
    <tableColumn id="4" xr3:uid="{3F781E37-2B5D-44B5-9A76-D9389DE0F0F3}" name="Details"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1" xr10:uid="{B6182028-DCCF-464E-AE92-341AFBA36BB8}" sourceName="Date">
  <pivotTables>
    <pivotTable tabId="15" name="IncomePivot"/>
  </pivotTables>
  <state minimalRefreshVersion="6" lastRefreshVersion="6" pivotCacheId="1232955972" filterType="dateBetween">
    <selection startDate="2025-02-01T00:00:00" endDate="2025-02-28T00:00:00"/>
    <bounds startDate="2010-01-01T00:00:00" endDate="2026-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3AB152BE-CD44-4473-A772-B6970E75C59B}" sourceName="Date">
  <pivotTables>
    <pivotTable tabId="17" name="Expenses Pivot"/>
  </pivotTables>
  <state minimalRefreshVersion="6" lastRefreshVersion="6" pivotCacheId="1451994214" filterType="dateBetween">
    <selection startDate="2021-01-01T00:00:00" endDate="2024-12-31T00:00:00"/>
    <bounds startDate="2021-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3" xr10:uid="{EC707BDF-D024-4291-9219-9541BBAD37A1}" cache="NativeTimeline_Date1" caption="Date" level="2" selectionLevel="2" scrollPosition="2024-03-01T00:00:00" style="TimeSlicerStyleDark1"/>
  <timeline name="Date" xr10:uid="{3223A065-6D9F-4103-B0F2-EB775EF80FA7}" cache="NativeTimeline_Date" caption="Date" level="2" selectionLevel="0" scrollPosition="2021-01-01T00:00:00" style="TimeSlicerStyleDark1"/>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microsoft.com/office/2011/relationships/timeline" Target="../timelines/timelin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ECD84-E17D-4A8B-88A3-883FDE276232}">
  <sheetPr codeName="Sheet7"/>
  <dimension ref="A1:H22"/>
  <sheetViews>
    <sheetView tabSelected="1" zoomScale="75" zoomScaleNormal="75" workbookViewId="0">
      <selection activeCell="C11" sqref="C11"/>
    </sheetView>
  </sheetViews>
  <sheetFormatPr defaultRowHeight="14.25"/>
  <cols>
    <col min="1" max="1" width="1.33203125" style="1" customWidth="1"/>
    <col min="2" max="2" width="4.33203125" style="1" customWidth="1"/>
    <col min="3" max="3" width="62.46484375" style="1" customWidth="1"/>
    <col min="4" max="4" width="5.265625" style="1" customWidth="1"/>
    <col min="5" max="5" width="2.73046875" style="1" customWidth="1"/>
    <col min="6" max="6" width="67.265625" style="1" customWidth="1"/>
    <col min="7" max="8" width="33.1328125" style="1" customWidth="1"/>
    <col min="9" max="16384" width="9.06640625" style="1"/>
  </cols>
  <sheetData>
    <row r="1" spans="1:8" ht="44.25" customHeight="1">
      <c r="A1" s="92" t="s">
        <v>4</v>
      </c>
      <c r="B1" s="92"/>
      <c r="C1" s="92"/>
      <c r="D1" s="92"/>
      <c r="E1" s="92"/>
      <c r="F1" s="92"/>
      <c r="G1" s="92"/>
      <c r="H1" s="92"/>
    </row>
    <row r="2" spans="1:8" ht="79.150000000000006" customHeight="1">
      <c r="A2" s="93" t="s">
        <v>15</v>
      </c>
      <c r="B2" s="93"/>
      <c r="C2" s="93"/>
      <c r="D2" s="93"/>
      <c r="E2" s="93"/>
      <c r="F2" s="93"/>
      <c r="G2" s="93"/>
      <c r="H2" s="93"/>
    </row>
    <row r="3" spans="1:8" ht="14.65" thickBot="1"/>
    <row r="4" spans="1:8" ht="24.75" customHeight="1">
      <c r="B4" s="94" t="s">
        <v>42</v>
      </c>
      <c r="C4" s="95"/>
      <c r="D4" s="96"/>
      <c r="F4" s="66" t="s">
        <v>44</v>
      </c>
      <c r="G4" s="67"/>
      <c r="H4" s="67"/>
    </row>
    <row r="5" spans="1:8" ht="8.25" customHeight="1">
      <c r="B5" s="97"/>
      <c r="C5" s="98"/>
      <c r="D5" s="99"/>
    </row>
    <row r="6" spans="1:8" ht="14.65" thickBot="1">
      <c r="B6" s="100"/>
      <c r="C6" s="101"/>
      <c r="D6" s="102"/>
    </row>
    <row r="7" spans="1:8" ht="14.65">
      <c r="B7" s="74"/>
      <c r="C7" s="75"/>
      <c r="D7" s="76"/>
    </row>
    <row r="8" spans="1:8" ht="14.65">
      <c r="B8" s="74"/>
      <c r="C8" s="75"/>
      <c r="D8" s="76"/>
    </row>
    <row r="9" spans="1:8" ht="29.25">
      <c r="B9" s="77"/>
      <c r="C9" s="78" t="s">
        <v>19</v>
      </c>
      <c r="D9" s="76"/>
    </row>
    <row r="10" spans="1:8" ht="29.25">
      <c r="B10" s="77"/>
      <c r="C10" s="79"/>
      <c r="D10" s="76"/>
    </row>
    <row r="11" spans="1:8" ht="29.25">
      <c r="B11" s="77"/>
      <c r="C11" s="78" t="s">
        <v>3</v>
      </c>
      <c r="D11" s="76"/>
    </row>
    <row r="12" spans="1:8" ht="29.25">
      <c r="B12" s="77"/>
      <c r="C12" s="79"/>
      <c r="D12" s="76"/>
    </row>
    <row r="13" spans="1:8" ht="29.25">
      <c r="B13" s="77"/>
      <c r="C13" s="78" t="s">
        <v>43</v>
      </c>
      <c r="D13" s="76"/>
    </row>
    <row r="14" spans="1:8" ht="29.25">
      <c r="B14" s="77"/>
      <c r="C14" s="79"/>
      <c r="D14" s="76"/>
    </row>
    <row r="15" spans="1:8" ht="29.25">
      <c r="B15" s="77"/>
      <c r="C15" s="78" t="s">
        <v>12</v>
      </c>
      <c r="D15" s="76"/>
    </row>
    <row r="16" spans="1:8" ht="29.25">
      <c r="B16" s="77"/>
      <c r="C16" s="79"/>
      <c r="D16" s="76"/>
    </row>
    <row r="17" spans="2:4" ht="29.25">
      <c r="B17" s="77"/>
      <c r="C17" s="79"/>
      <c r="D17" s="76"/>
    </row>
    <row r="18" spans="2:4" ht="29.25">
      <c r="B18" s="77"/>
      <c r="C18" s="78" t="s">
        <v>2</v>
      </c>
      <c r="D18" s="76"/>
    </row>
    <row r="19" spans="2:4" ht="29.25">
      <c r="B19" s="77"/>
      <c r="C19" s="79"/>
      <c r="D19" s="76"/>
    </row>
    <row r="20" spans="2:4" ht="29.25">
      <c r="B20" s="77"/>
      <c r="C20" s="78" t="s">
        <v>14</v>
      </c>
      <c r="D20" s="76"/>
    </row>
    <row r="21" spans="2:4" ht="26.25">
      <c r="B21" s="77"/>
      <c r="C21" s="75"/>
      <c r="D21" s="76"/>
    </row>
    <row r="22" spans="2:4" ht="28.9" customHeight="1" thickBot="1">
      <c r="B22" s="80"/>
      <c r="C22" s="91"/>
      <c r="D22" s="81"/>
    </row>
  </sheetData>
  <mergeCells count="3">
    <mergeCell ref="A1:H1"/>
    <mergeCell ref="A2:H2"/>
    <mergeCell ref="B4:D6"/>
  </mergeCells>
  <hyperlinks>
    <hyperlink ref="C9" location="Income!A1" display="Income" xr:uid="{E18450C5-0A40-4D4B-897D-E0150688D4EE}"/>
    <hyperlink ref="C11" location="Expenses!A1" display="Expenses" xr:uid="{5D5D4D9D-56FD-4600-8625-2441105E667E}"/>
    <hyperlink ref="C13" location="Goals!A1" display="Goals" xr:uid="{45438BFD-01D5-47BB-9D8D-8D35F6F2B9EB}"/>
    <hyperlink ref="C15" location="'Output Dashboard'!A1" display="Output Dashboard" xr:uid="{7BA9D878-9670-4E60-AA2E-A08EA2CAC3C5}"/>
    <hyperlink ref="C20" location="'Future Projections'!A1" display="Future Projections" xr:uid="{750F92FB-0828-4396-8BD1-4BEB348C0607}"/>
    <hyperlink ref="C18" location="'Financial Advice'!A1" display="Financial Advice" xr:uid="{8A13F5AF-2C33-4F3D-8190-B2BF0CAA0319}"/>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45"/>
  <sheetViews>
    <sheetView zoomScale="75" zoomScaleNormal="75" workbookViewId="0">
      <selection activeCell="E37" sqref="E37"/>
    </sheetView>
  </sheetViews>
  <sheetFormatPr defaultRowHeight="13.5"/>
  <cols>
    <col min="1" max="1" width="1.19921875" style="2" customWidth="1"/>
    <col min="2" max="2" width="24.796875" style="2" customWidth="1"/>
    <col min="3" max="5" width="40.73046875" style="2" customWidth="1"/>
    <col min="6" max="6" width="36.265625" style="2" customWidth="1"/>
    <col min="7" max="16384" width="9.06640625" style="2"/>
  </cols>
  <sheetData>
    <row r="1" spans="1:12" ht="40.5" customHeight="1">
      <c r="A1" s="92" t="s">
        <v>4</v>
      </c>
      <c r="B1" s="92"/>
      <c r="C1" s="92"/>
      <c r="D1" s="92"/>
      <c r="E1" s="92"/>
      <c r="F1" s="92"/>
      <c r="G1" s="92"/>
      <c r="H1" s="92"/>
      <c r="I1" s="92"/>
      <c r="J1" s="92"/>
      <c r="K1" s="92"/>
      <c r="L1" s="92"/>
    </row>
    <row r="2" spans="1:12" ht="69.75" customHeight="1">
      <c r="A2" s="93" t="s">
        <v>9</v>
      </c>
      <c r="B2" s="93"/>
      <c r="C2" s="93"/>
      <c r="D2" s="93"/>
      <c r="E2" s="93"/>
      <c r="F2" s="93"/>
      <c r="G2" s="93"/>
      <c r="H2" s="93"/>
      <c r="I2" s="93"/>
      <c r="J2" s="93"/>
      <c r="K2" s="93"/>
      <c r="L2" s="93"/>
    </row>
    <row r="4" spans="1:12" ht="17.649999999999999">
      <c r="A4" s="3"/>
      <c r="B4" s="11" t="s">
        <v>3</v>
      </c>
      <c r="C4" s="16"/>
      <c r="D4" s="16"/>
      <c r="E4" s="17"/>
      <c r="F4" s="16"/>
    </row>
    <row r="5" spans="1:12" ht="4.5" customHeight="1">
      <c r="A5" s="3"/>
      <c r="B5" s="13"/>
      <c r="C5" s="13"/>
      <c r="D5" s="13"/>
      <c r="E5" s="13"/>
      <c r="F5" s="13"/>
    </row>
    <row r="6" spans="1:12" ht="15.4" thickBot="1">
      <c r="B6" s="20" t="s">
        <v>0</v>
      </c>
      <c r="C6" s="21" t="s">
        <v>5</v>
      </c>
      <c r="D6" s="21" t="s">
        <v>7</v>
      </c>
      <c r="E6" s="21" t="s">
        <v>6</v>
      </c>
      <c r="F6" s="19" t="s">
        <v>8</v>
      </c>
    </row>
    <row r="7" spans="1:12">
      <c r="B7" s="7">
        <v>45668</v>
      </c>
      <c r="C7" s="88" t="s">
        <v>60</v>
      </c>
      <c r="D7" s="88" t="s">
        <v>61</v>
      </c>
      <c r="E7" s="10">
        <v>2000</v>
      </c>
    </row>
    <row r="8" spans="1:12">
      <c r="B8" s="7">
        <v>45699</v>
      </c>
      <c r="C8" s="88" t="s">
        <v>60</v>
      </c>
      <c r="D8" s="88" t="s">
        <v>61</v>
      </c>
      <c r="E8" s="10">
        <v>2000</v>
      </c>
    </row>
    <row r="9" spans="1:12">
      <c r="B9" s="7">
        <v>45727</v>
      </c>
      <c r="C9" s="88" t="s">
        <v>60</v>
      </c>
      <c r="D9" s="88" t="s">
        <v>61</v>
      </c>
      <c r="E9" s="10">
        <v>2000</v>
      </c>
    </row>
    <row r="10" spans="1:12">
      <c r="B10" s="7">
        <v>45698</v>
      </c>
      <c r="C10" s="88" t="s">
        <v>62</v>
      </c>
      <c r="D10" s="88" t="s">
        <v>63</v>
      </c>
      <c r="E10" s="10">
        <v>200</v>
      </c>
    </row>
    <row r="11" spans="1:12">
      <c r="B11" s="7">
        <v>45749</v>
      </c>
      <c r="C11" s="88" t="s">
        <v>64</v>
      </c>
      <c r="D11" s="88" t="s">
        <v>65</v>
      </c>
      <c r="E11" s="10">
        <v>1500</v>
      </c>
    </row>
    <row r="12" spans="1:12">
      <c r="B12" s="7"/>
      <c r="C12" s="88"/>
      <c r="D12" s="88"/>
      <c r="E12" s="10"/>
    </row>
    <row r="13" spans="1:12">
      <c r="B13" s="7"/>
      <c r="C13" s="88"/>
      <c r="D13" s="88"/>
      <c r="E13" s="10"/>
    </row>
    <row r="14" spans="1:12">
      <c r="B14" s="7"/>
      <c r="E14" s="10"/>
    </row>
    <row r="15" spans="1:12">
      <c r="B15" s="7"/>
      <c r="E15" s="10"/>
    </row>
    <row r="16" spans="1:12">
      <c r="B16" s="7"/>
      <c r="E16" s="10"/>
    </row>
    <row r="34" spans="1:1">
      <c r="A34" s="7"/>
    </row>
    <row r="35" spans="1:1">
      <c r="A35" s="7"/>
    </row>
    <row r="36" spans="1:1">
      <c r="A36" s="7"/>
    </row>
    <row r="37" spans="1:1">
      <c r="A37" s="7"/>
    </row>
    <row r="38" spans="1:1">
      <c r="A38" s="7"/>
    </row>
    <row r="39" spans="1:1">
      <c r="A39" s="7"/>
    </row>
    <row r="40" spans="1:1">
      <c r="A40" s="7"/>
    </row>
    <row r="41" spans="1:1">
      <c r="A41" s="7"/>
    </row>
    <row r="42" spans="1:1">
      <c r="A42" s="7"/>
    </row>
    <row r="43" spans="1:1">
      <c r="A43" s="7"/>
    </row>
    <row r="44" spans="1:1">
      <c r="A44" s="7"/>
    </row>
    <row r="45" spans="1:1">
      <c r="A45" s="7"/>
    </row>
  </sheetData>
  <mergeCells count="2">
    <mergeCell ref="A2:L2"/>
    <mergeCell ref="A1:L1"/>
  </mergeCells>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D5AA4-772B-440B-8FE6-201E4A09E6DB}">
  <sheetPr codeName="Sheet5"/>
  <dimension ref="A1:O9"/>
  <sheetViews>
    <sheetView zoomScale="76" zoomScaleNormal="90" workbookViewId="0">
      <selection activeCell="F22" sqref="F22"/>
    </sheetView>
  </sheetViews>
  <sheetFormatPr defaultRowHeight="15"/>
  <cols>
    <col min="1" max="1" width="1.33203125" style="13" customWidth="1"/>
    <col min="2" max="6" width="38.06640625" style="13" customWidth="1"/>
    <col min="7" max="16384" width="9.06640625" style="13"/>
  </cols>
  <sheetData>
    <row r="1" spans="1:15" ht="41.65" customHeight="1">
      <c r="A1" s="92" t="s">
        <v>4</v>
      </c>
      <c r="B1" s="92"/>
      <c r="C1" s="92"/>
      <c r="D1" s="92"/>
      <c r="E1" s="92"/>
      <c r="F1" s="92"/>
      <c r="G1" s="12"/>
      <c r="H1" s="12"/>
      <c r="I1" s="12"/>
      <c r="J1" s="12"/>
      <c r="K1" s="12"/>
      <c r="L1" s="12"/>
      <c r="M1" s="12"/>
      <c r="N1" s="12"/>
      <c r="O1" s="12"/>
    </row>
    <row r="2" spans="1:15" ht="66.75" customHeight="1">
      <c r="A2" s="93" t="s">
        <v>20</v>
      </c>
      <c r="B2" s="93"/>
      <c r="C2" s="93"/>
      <c r="D2" s="93"/>
      <c r="E2" s="93"/>
      <c r="F2" s="93"/>
      <c r="G2" s="14"/>
      <c r="H2" s="14"/>
      <c r="I2" s="14"/>
      <c r="J2" s="14"/>
      <c r="K2" s="14"/>
      <c r="L2" s="14"/>
      <c r="M2" s="14"/>
      <c r="N2" s="14"/>
      <c r="O2" s="14"/>
    </row>
    <row r="4" spans="1:15" ht="17.649999999999999">
      <c r="A4" s="15"/>
      <c r="B4" s="11" t="s">
        <v>3</v>
      </c>
      <c r="C4" s="16"/>
      <c r="D4" s="16"/>
      <c r="E4" s="17"/>
      <c r="F4" s="16"/>
      <c r="O4" s="18"/>
    </row>
    <row r="5" spans="1:15" ht="5.65" customHeight="1"/>
    <row r="6" spans="1:15" ht="19.899999999999999" customHeight="1" thickBot="1">
      <c r="B6" s="20" t="s">
        <v>0</v>
      </c>
      <c r="C6" s="21" t="s">
        <v>5</v>
      </c>
      <c r="D6" s="21" t="s">
        <v>7</v>
      </c>
      <c r="E6" s="21" t="s">
        <v>6</v>
      </c>
      <c r="F6" s="19" t="s">
        <v>8</v>
      </c>
    </row>
    <row r="7" spans="1:15">
      <c r="B7" s="22">
        <v>45577</v>
      </c>
      <c r="C7" s="23" t="s">
        <v>47</v>
      </c>
      <c r="D7" s="23" t="s">
        <v>48</v>
      </c>
      <c r="E7" s="24">
        <v>1000</v>
      </c>
      <c r="F7" s="23"/>
    </row>
    <row r="8" spans="1:15">
      <c r="B8" s="22">
        <v>45577</v>
      </c>
      <c r="C8" s="23" t="s">
        <v>45</v>
      </c>
      <c r="D8" s="23" t="s">
        <v>49</v>
      </c>
      <c r="E8" s="24">
        <v>150</v>
      </c>
      <c r="F8" s="23"/>
    </row>
    <row r="9" spans="1:15">
      <c r="B9" s="22">
        <v>45608</v>
      </c>
      <c r="C9" s="23" t="s">
        <v>50</v>
      </c>
      <c r="D9" s="23" t="s">
        <v>49</v>
      </c>
      <c r="E9" s="24">
        <v>200</v>
      </c>
      <c r="F9" s="23"/>
    </row>
  </sheetData>
  <mergeCells count="2">
    <mergeCell ref="A1:F1"/>
    <mergeCell ref="A2:F2"/>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EBA61-2BDE-4C30-98DE-5DC76A187758}">
  <sheetPr codeName="Sheet4"/>
  <dimension ref="A1:H9"/>
  <sheetViews>
    <sheetView zoomScale="75" zoomScaleNormal="75" workbookViewId="0">
      <selection activeCell="D26" sqref="D26"/>
    </sheetView>
  </sheetViews>
  <sheetFormatPr defaultRowHeight="13.5"/>
  <cols>
    <col min="1" max="1" width="1.6640625" style="2" customWidth="1"/>
    <col min="2" max="3" width="33.6640625" style="2" customWidth="1"/>
    <col min="4" max="4" width="40.73046875" style="2" customWidth="1"/>
    <col min="5" max="5" width="92.9296875" style="2" customWidth="1"/>
    <col min="6" max="16384" width="9.06640625" style="2"/>
  </cols>
  <sheetData>
    <row r="1" spans="1:8" ht="34.5" customHeight="1">
      <c r="A1" s="92" t="s">
        <v>4</v>
      </c>
      <c r="B1" s="92"/>
      <c r="C1" s="92"/>
      <c r="D1" s="92"/>
      <c r="E1" s="92"/>
    </row>
    <row r="2" spans="1:8" ht="68.650000000000006" customHeight="1">
      <c r="A2" s="93" t="s">
        <v>11</v>
      </c>
      <c r="B2" s="93"/>
      <c r="C2" s="93"/>
      <c r="D2" s="93"/>
      <c r="E2" s="93"/>
    </row>
    <row r="4" spans="1:8" ht="17.649999999999999">
      <c r="B4" s="6" t="s">
        <v>10</v>
      </c>
      <c r="C4" s="4"/>
      <c r="D4" s="5"/>
      <c r="E4" s="4"/>
    </row>
    <row r="6" spans="1:8" ht="18" customHeight="1" thickBot="1">
      <c r="B6" s="69" t="s">
        <v>16</v>
      </c>
      <c r="C6" s="70" t="s">
        <v>1</v>
      </c>
      <c r="D6" s="70" t="s">
        <v>17</v>
      </c>
      <c r="E6" s="71" t="s">
        <v>8</v>
      </c>
    </row>
    <row r="7" spans="1:8" ht="15.75" customHeight="1" thickBot="1">
      <c r="B7" s="72" t="s">
        <v>53</v>
      </c>
      <c r="C7" s="85">
        <v>45353</v>
      </c>
      <c r="D7" s="84">
        <v>0.7</v>
      </c>
      <c r="E7" s="82" t="s">
        <v>54</v>
      </c>
      <c r="H7" s="73"/>
    </row>
    <row r="8" spans="1:8" ht="13.9" thickBot="1">
      <c r="B8" s="72" t="s">
        <v>52</v>
      </c>
      <c r="C8" s="86">
        <v>43862</v>
      </c>
      <c r="D8" s="84">
        <v>0.75</v>
      </c>
      <c r="E8" s="83" t="s">
        <v>59</v>
      </c>
    </row>
    <row r="9" spans="1:8">
      <c r="B9" s="72" t="s">
        <v>56</v>
      </c>
      <c r="C9" s="87" t="s">
        <v>55</v>
      </c>
      <c r="D9" s="84">
        <v>0.75</v>
      </c>
      <c r="E9" s="83" t="s">
        <v>57</v>
      </c>
    </row>
  </sheetData>
  <mergeCells count="2">
    <mergeCell ref="A1:E1"/>
    <mergeCell ref="A2:E2"/>
  </mergeCells>
  <conditionalFormatting sqref="D7:D9">
    <cfRule type="dataBar" priority="1">
      <dataBar>
        <cfvo type="num" val="0"/>
        <cfvo type="num" val="1"/>
        <color rgb="FF638EC6"/>
      </dataBar>
      <extLst>
        <ext xmlns:x14="http://schemas.microsoft.com/office/spreadsheetml/2009/9/main" uri="{B025F937-C7B1-47D3-B67F-A62EFF666E3E}">
          <x14:id>{5A80A08A-7709-4F6F-9254-1F0CA10C14FA}</x14:id>
        </ext>
      </extLst>
    </cfRule>
    <cfRule type="dataBar" priority="2">
      <dataBar>
        <cfvo type="num" val="0"/>
        <cfvo type="num" val="1"/>
        <color rgb="FF638EC6"/>
      </dataBar>
      <extLst>
        <ext xmlns:x14="http://schemas.microsoft.com/office/spreadsheetml/2009/9/main" uri="{B025F937-C7B1-47D3-B67F-A62EFF666E3E}">
          <x14:id>{27126411-903C-4F63-8B1E-D159CB281187}</x14:id>
        </ext>
      </extLst>
    </cfRule>
  </conditionalFormatting>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5A80A08A-7709-4F6F-9254-1F0CA10C14FA}">
            <x14:dataBar minLength="0" maxLength="100" gradient="0">
              <x14:cfvo type="num">
                <xm:f>0</xm:f>
              </x14:cfvo>
              <x14:cfvo type="num">
                <xm:f>1</xm:f>
              </x14:cfvo>
              <x14:negativeFillColor rgb="FFFF0000"/>
              <x14:axisColor rgb="FF000000"/>
            </x14:dataBar>
          </x14:cfRule>
          <x14:cfRule type="dataBar" id="{27126411-903C-4F63-8B1E-D159CB281187}">
            <x14:dataBar minLength="0" maxLength="100" gradient="0">
              <x14:cfvo type="num">
                <xm:f>0</xm:f>
              </x14:cfvo>
              <x14:cfvo type="num">
                <xm:f>1</xm:f>
              </x14:cfvo>
              <x14:negativeFillColor rgb="FFFF0000"/>
              <x14:axisColor rgb="FF000000"/>
            </x14:dataBar>
          </x14:cfRule>
          <xm:sqref>D7:D9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34D05-53DD-4F61-80C2-577709B2F023}">
  <sheetPr codeName="Sheet9"/>
  <dimension ref="A1:AA59"/>
  <sheetViews>
    <sheetView zoomScale="50" zoomScaleNormal="50" workbookViewId="0">
      <selection activeCell="W20" sqref="W20"/>
    </sheetView>
  </sheetViews>
  <sheetFormatPr defaultRowHeight="15.4"/>
  <cols>
    <col min="1" max="1" width="2.9296875" style="1" customWidth="1"/>
    <col min="2" max="3" width="37.73046875" style="1" customWidth="1"/>
    <col min="4" max="4" width="19.1328125" style="13" customWidth="1"/>
    <col min="5" max="7" width="34.33203125" style="13" customWidth="1"/>
    <col min="8" max="8" width="3.1328125" style="13" customWidth="1"/>
    <col min="9" max="9" width="4.73046875" style="13" customWidth="1"/>
    <col min="10" max="11" width="33.6640625" style="13" customWidth="1"/>
    <col min="12" max="12" width="20.73046875" style="1" customWidth="1"/>
    <col min="13" max="13" width="33.6640625" style="1" customWidth="1"/>
    <col min="14" max="16384" width="9.06640625" style="1"/>
  </cols>
  <sheetData>
    <row r="1" spans="1:27" ht="39.75" customHeight="1">
      <c r="A1" s="92" t="s">
        <v>4</v>
      </c>
      <c r="B1" s="92"/>
      <c r="C1" s="92"/>
      <c r="D1" s="92"/>
      <c r="E1" s="92"/>
      <c r="F1" s="92"/>
      <c r="G1" s="92"/>
      <c r="H1" s="92"/>
      <c r="I1" s="92"/>
      <c r="J1" s="92"/>
      <c r="K1" s="92"/>
      <c r="L1" s="92"/>
      <c r="M1" s="92"/>
      <c r="N1" s="92"/>
      <c r="O1" s="92"/>
      <c r="P1" s="92"/>
      <c r="Q1" s="92"/>
      <c r="R1" s="92"/>
      <c r="S1" s="92"/>
      <c r="T1" s="92"/>
      <c r="U1" s="92"/>
      <c r="V1" s="92"/>
      <c r="W1" s="92"/>
      <c r="X1" s="92"/>
      <c r="Y1" s="92"/>
      <c r="Z1" s="92"/>
      <c r="AA1" s="92"/>
    </row>
    <row r="2" spans="1:27" ht="69.400000000000006" customHeight="1">
      <c r="A2" s="93" t="s">
        <v>12</v>
      </c>
      <c r="B2" s="93"/>
      <c r="C2" s="93"/>
      <c r="D2" s="93"/>
      <c r="E2" s="93"/>
      <c r="F2" s="93"/>
      <c r="G2" s="93"/>
      <c r="H2" s="93"/>
      <c r="I2" s="93"/>
      <c r="J2" s="93"/>
      <c r="K2" s="93"/>
      <c r="L2" s="93"/>
      <c r="M2" s="93"/>
      <c r="N2" s="93"/>
      <c r="O2" s="93"/>
      <c r="P2" s="93"/>
      <c r="Q2" s="93"/>
      <c r="R2" s="93"/>
      <c r="S2" s="93"/>
      <c r="T2" s="93"/>
      <c r="U2" s="93"/>
      <c r="V2" s="93"/>
      <c r="W2" s="93"/>
      <c r="X2" s="93"/>
      <c r="Y2" s="93"/>
      <c r="Z2" s="93"/>
      <c r="AA2" s="93"/>
    </row>
    <row r="3" spans="1:27" ht="14.25">
      <c r="D3" s="1"/>
      <c r="E3" s="1"/>
      <c r="F3" s="1"/>
      <c r="G3" s="1"/>
      <c r="H3" s="1"/>
      <c r="I3" s="1"/>
      <c r="J3" s="1"/>
      <c r="K3" s="1"/>
    </row>
    <row r="4" spans="1:27" ht="23.25">
      <c r="B4" s="54" t="s">
        <v>3</v>
      </c>
      <c r="C4" s="52"/>
      <c r="D4" s="52"/>
      <c r="E4" s="90">
        <v>1000</v>
      </c>
      <c r="F4" s="53"/>
      <c r="G4" s="53"/>
      <c r="H4" s="53"/>
      <c r="I4" s="1"/>
      <c r="J4" s="27" t="s">
        <v>19</v>
      </c>
      <c r="K4" s="28"/>
      <c r="L4" s="28"/>
      <c r="M4" s="28"/>
      <c r="N4" s="28"/>
      <c r="O4" s="28"/>
      <c r="P4" s="28"/>
      <c r="Q4" s="28"/>
      <c r="R4" s="28"/>
      <c r="S4" s="28"/>
      <c r="T4" s="28"/>
      <c r="U4" s="28"/>
      <c r="V4" s="28"/>
    </row>
    <row r="5" spans="1:27" ht="23.65" thickBot="1">
      <c r="B5" s="29"/>
      <c r="D5" s="1"/>
      <c r="E5" s="1"/>
      <c r="F5" s="1"/>
      <c r="G5" s="1"/>
      <c r="H5" s="1"/>
      <c r="I5" s="1"/>
      <c r="J5" s="30"/>
      <c r="K5" s="31"/>
      <c r="L5" s="31"/>
      <c r="M5" s="31"/>
      <c r="N5" s="31"/>
      <c r="O5" s="31"/>
      <c r="P5" s="31"/>
      <c r="Q5" s="31"/>
      <c r="R5" s="31"/>
      <c r="S5" s="31"/>
      <c r="T5" s="31"/>
      <c r="U5" s="31"/>
      <c r="V5" s="31"/>
    </row>
    <row r="6" spans="1:27" ht="23.65" thickBot="1">
      <c r="B6" s="55" t="s">
        <v>33</v>
      </c>
      <c r="C6" s="38"/>
      <c r="D6" s="38"/>
      <c r="E6" s="38"/>
      <c r="F6" s="38"/>
      <c r="G6" s="39"/>
      <c r="H6" s="1"/>
      <c r="I6" s="1"/>
      <c r="J6" s="37" t="s">
        <v>25</v>
      </c>
      <c r="K6" s="38"/>
      <c r="L6" s="38"/>
      <c r="M6" s="38"/>
      <c r="N6" s="38"/>
      <c r="O6" s="38"/>
      <c r="P6" s="38"/>
      <c r="Q6" s="38"/>
      <c r="R6" s="38"/>
      <c r="S6" s="38"/>
      <c r="T6" s="38"/>
      <c r="U6" s="38"/>
      <c r="V6" s="39"/>
    </row>
    <row r="7" spans="1:27" ht="14.25">
      <c r="B7" s="40"/>
      <c r="C7" s="41"/>
      <c r="D7" s="41"/>
      <c r="E7" s="41"/>
      <c r="F7" s="41"/>
      <c r="G7" s="42"/>
      <c r="H7" s="1"/>
      <c r="I7" s="1"/>
      <c r="J7" s="40"/>
      <c r="K7" s="41"/>
      <c r="L7" s="41"/>
      <c r="M7" s="41"/>
      <c r="N7" s="41"/>
      <c r="O7" s="41"/>
      <c r="P7" s="41"/>
      <c r="Q7" s="41"/>
      <c r="R7" s="41"/>
      <c r="S7" s="41"/>
      <c r="T7" s="41"/>
      <c r="U7" s="41"/>
      <c r="V7" s="42"/>
    </row>
    <row r="8" spans="1:27" ht="21">
      <c r="B8" s="43"/>
      <c r="C8" s="44"/>
      <c r="D8" s="44"/>
      <c r="E8" s="103" t="s">
        <v>35</v>
      </c>
      <c r="F8" s="103"/>
      <c r="G8" s="45"/>
      <c r="H8" s="1"/>
      <c r="I8" s="1"/>
      <c r="J8" s="43"/>
      <c r="K8" s="44"/>
      <c r="L8" s="44"/>
      <c r="M8" s="104" t="s">
        <v>26</v>
      </c>
      <c r="N8" s="104"/>
      <c r="O8" s="44"/>
      <c r="P8" s="44"/>
      <c r="Q8" s="44"/>
      <c r="R8" s="44"/>
      <c r="S8" s="44"/>
      <c r="T8" s="44"/>
      <c r="U8" s="44"/>
      <c r="V8" s="45"/>
    </row>
    <row r="9" spans="1:27" ht="14.25">
      <c r="B9" s="43"/>
      <c r="C9" s="44"/>
      <c r="D9" s="44"/>
      <c r="E9" s="44"/>
      <c r="F9" s="44"/>
      <c r="G9" s="45"/>
      <c r="H9" s="1"/>
      <c r="I9" s="1"/>
      <c r="J9" s="43"/>
      <c r="K9" s="44"/>
      <c r="L9" s="44"/>
      <c r="M9" s="44"/>
      <c r="N9" s="44"/>
      <c r="O9" s="44"/>
      <c r="P9" s="44"/>
      <c r="Q9" s="44"/>
      <c r="R9" s="44"/>
      <c r="S9" s="44"/>
      <c r="T9" s="44"/>
      <c r="U9" s="44"/>
      <c r="V9" s="45"/>
    </row>
    <row r="10" spans="1:27" ht="14.25">
      <c r="B10" s="43"/>
      <c r="C10" s="44"/>
      <c r="D10" s="44"/>
      <c r="E10" s="44"/>
      <c r="F10" s="44"/>
      <c r="G10" s="45"/>
      <c r="H10" s="1"/>
      <c r="I10" s="1"/>
      <c r="J10" s="43"/>
      <c r="K10" s="44"/>
      <c r="L10" s="44"/>
      <c r="M10" s="44"/>
      <c r="N10" s="44"/>
      <c r="O10" s="44"/>
      <c r="P10" s="44"/>
      <c r="Q10" s="44"/>
      <c r="R10" s="44"/>
      <c r="S10" s="44"/>
      <c r="T10" s="44"/>
      <c r="U10" s="44"/>
      <c r="V10" s="45"/>
    </row>
    <row r="11" spans="1:27" ht="14.25">
      <c r="B11" s="43"/>
      <c r="C11" s="44"/>
      <c r="D11" s="44"/>
      <c r="E11" s="44"/>
      <c r="F11" s="44"/>
      <c r="G11" s="45"/>
      <c r="H11" s="1"/>
      <c r="I11" s="1"/>
      <c r="J11" s="43"/>
      <c r="K11" s="44"/>
      <c r="L11" s="44"/>
      <c r="M11" s="44"/>
      <c r="N11" s="44"/>
      <c r="O11" s="44"/>
      <c r="P11" s="44"/>
      <c r="Q11" s="44"/>
      <c r="R11" s="44"/>
      <c r="S11" s="44"/>
      <c r="T11" s="44"/>
      <c r="U11" s="44"/>
      <c r="V11" s="45"/>
    </row>
    <row r="12" spans="1:27" ht="14.25">
      <c r="B12" s="43"/>
      <c r="C12" s="44"/>
      <c r="D12" s="44"/>
      <c r="E12" s="44"/>
      <c r="F12" s="44"/>
      <c r="G12" s="45"/>
      <c r="H12" s="1"/>
      <c r="I12" s="1"/>
      <c r="J12" s="43"/>
      <c r="K12" s="44"/>
      <c r="L12" s="44"/>
      <c r="M12" s="44"/>
      <c r="N12" s="44"/>
      <c r="O12" s="44"/>
      <c r="P12" s="44"/>
      <c r="Q12" s="44"/>
      <c r="R12" s="44"/>
      <c r="S12" s="44"/>
      <c r="T12" s="44"/>
      <c r="U12" s="44"/>
      <c r="V12" s="45"/>
    </row>
    <row r="13" spans="1:27" ht="14.25">
      <c r="B13" s="43"/>
      <c r="C13" s="44"/>
      <c r="D13" s="44"/>
      <c r="E13" s="44"/>
      <c r="F13" s="44"/>
      <c r="G13" s="45"/>
      <c r="H13" s="1"/>
      <c r="I13" s="1"/>
      <c r="J13" s="43"/>
      <c r="K13" s="44"/>
      <c r="L13" s="44"/>
      <c r="M13" s="44"/>
      <c r="N13" s="44"/>
      <c r="O13" s="44"/>
      <c r="P13" s="44"/>
      <c r="Q13" s="44"/>
      <c r="R13" s="44"/>
      <c r="S13" s="44"/>
      <c r="T13" s="44"/>
      <c r="U13" s="44"/>
      <c r="V13" s="45"/>
    </row>
    <row r="14" spans="1:27" ht="14.25">
      <c r="B14" s="43"/>
      <c r="C14" s="44"/>
      <c r="D14" s="44"/>
      <c r="E14" s="44"/>
      <c r="F14" s="44"/>
      <c r="G14" s="45"/>
      <c r="H14" s="1"/>
      <c r="I14" s="1"/>
      <c r="J14" s="43"/>
      <c r="K14" s="44"/>
      <c r="L14" s="44"/>
      <c r="M14" s="44"/>
      <c r="N14" s="44"/>
      <c r="O14" s="44"/>
      <c r="P14" s="44"/>
      <c r="Q14" s="44"/>
      <c r="R14" s="44"/>
      <c r="S14" s="44"/>
      <c r="T14" s="44"/>
      <c r="U14" s="44"/>
      <c r="V14" s="45"/>
    </row>
    <row r="15" spans="1:27">
      <c r="B15" s="43"/>
      <c r="C15" s="44"/>
      <c r="D15" s="47"/>
      <c r="E15" s="47"/>
      <c r="F15" s="47"/>
      <c r="G15" s="56"/>
      <c r="H15" s="1"/>
      <c r="J15" s="46"/>
      <c r="K15" s="47"/>
      <c r="L15" s="44"/>
      <c r="M15" s="44"/>
      <c r="N15" s="44"/>
      <c r="O15" s="44"/>
      <c r="P15" s="44"/>
      <c r="Q15" s="44"/>
      <c r="R15" s="44"/>
      <c r="S15" s="44"/>
      <c r="T15" s="44"/>
      <c r="U15" s="44"/>
      <c r="V15" s="45"/>
    </row>
    <row r="16" spans="1:27">
      <c r="B16" s="43"/>
      <c r="C16" s="44"/>
      <c r="D16" s="47"/>
      <c r="E16" s="47"/>
      <c r="F16" s="47"/>
      <c r="G16" s="56"/>
      <c r="H16" s="1"/>
      <c r="J16" s="46"/>
      <c r="K16" s="47"/>
      <c r="L16" s="44"/>
      <c r="M16" s="44"/>
      <c r="N16" s="44"/>
      <c r="O16" s="44"/>
      <c r="P16" s="44"/>
      <c r="Q16" s="44"/>
      <c r="R16" s="44"/>
      <c r="S16" s="44"/>
      <c r="T16" s="44"/>
      <c r="U16" s="44"/>
      <c r="V16" s="45"/>
    </row>
    <row r="17" spans="2:22">
      <c r="B17" s="43"/>
      <c r="C17" s="44"/>
      <c r="D17" s="47"/>
      <c r="E17" s="47"/>
      <c r="F17" s="47"/>
      <c r="G17" s="56"/>
      <c r="H17" s="1"/>
      <c r="J17" s="46"/>
      <c r="K17" s="47"/>
      <c r="L17" s="44"/>
      <c r="M17" s="44"/>
      <c r="N17" s="44"/>
      <c r="O17" s="44"/>
      <c r="P17" s="44"/>
      <c r="Q17" s="44"/>
      <c r="R17" s="44"/>
      <c r="S17" s="44"/>
      <c r="T17" s="44"/>
      <c r="U17" s="44"/>
      <c r="V17" s="45"/>
    </row>
    <row r="18" spans="2:22">
      <c r="B18" s="43"/>
      <c r="C18" s="44"/>
      <c r="D18" s="47"/>
      <c r="E18" s="47"/>
      <c r="F18" s="47"/>
      <c r="G18" s="56"/>
      <c r="H18" s="1"/>
      <c r="J18" s="46"/>
      <c r="K18" s="47"/>
      <c r="L18" s="44"/>
      <c r="M18" s="44"/>
      <c r="N18" s="44"/>
      <c r="O18" s="44"/>
      <c r="P18" s="44"/>
      <c r="Q18" s="44"/>
      <c r="R18" s="44"/>
      <c r="S18" s="44"/>
      <c r="T18" s="44"/>
      <c r="U18" s="44"/>
      <c r="V18" s="45"/>
    </row>
    <row r="19" spans="2:22">
      <c r="B19" s="43"/>
      <c r="C19" s="44"/>
      <c r="D19" s="47"/>
      <c r="E19" s="47"/>
      <c r="F19" s="47"/>
      <c r="G19" s="56"/>
      <c r="H19" s="1"/>
      <c r="J19" s="46"/>
      <c r="K19" s="47"/>
      <c r="L19" s="44"/>
      <c r="M19" s="44"/>
      <c r="N19" s="44"/>
      <c r="O19" s="44"/>
      <c r="P19" s="44"/>
      <c r="Q19" s="44"/>
      <c r="R19" s="44"/>
      <c r="S19" s="44"/>
      <c r="T19" s="44"/>
      <c r="U19" s="44"/>
      <c r="V19" s="45"/>
    </row>
    <row r="20" spans="2:22">
      <c r="B20" s="43"/>
      <c r="C20" s="44"/>
      <c r="D20" s="47"/>
      <c r="E20" s="47"/>
      <c r="F20" s="47"/>
      <c r="G20" s="56"/>
      <c r="H20" s="1"/>
      <c r="J20" s="46"/>
      <c r="K20" s="47"/>
      <c r="L20" s="44"/>
      <c r="M20" s="44"/>
      <c r="N20" s="44"/>
      <c r="O20" s="44"/>
      <c r="P20" s="44"/>
      <c r="Q20" s="44"/>
      <c r="R20" s="44"/>
      <c r="S20" s="44"/>
      <c r="T20" s="44"/>
      <c r="U20" s="44"/>
      <c r="V20" s="45"/>
    </row>
    <row r="21" spans="2:22" ht="21">
      <c r="B21" s="43"/>
      <c r="C21" s="44"/>
      <c r="D21" s="47"/>
      <c r="E21" s="103" t="s">
        <v>41</v>
      </c>
      <c r="F21" s="103"/>
      <c r="G21" s="56"/>
      <c r="H21" s="1"/>
      <c r="J21" s="46"/>
      <c r="K21" s="47"/>
      <c r="L21" s="44"/>
      <c r="M21" s="44"/>
      <c r="N21" s="44"/>
      <c r="O21" s="44"/>
      <c r="P21" s="44"/>
      <c r="Q21" s="44"/>
      <c r="R21" s="44"/>
      <c r="S21" s="44"/>
      <c r="T21" s="44"/>
      <c r="U21" s="44"/>
      <c r="V21" s="45"/>
    </row>
    <row r="22" spans="2:22" ht="21">
      <c r="B22" s="43"/>
      <c r="C22" s="44"/>
      <c r="D22" s="47"/>
      <c r="E22" s="47"/>
      <c r="F22" s="104"/>
      <c r="G22" s="105"/>
      <c r="H22" s="1"/>
      <c r="J22" s="46"/>
      <c r="K22" s="47"/>
      <c r="L22" s="44"/>
      <c r="M22" s="104" t="s">
        <v>27</v>
      </c>
      <c r="N22" s="104"/>
      <c r="O22" s="44"/>
      <c r="P22" s="44"/>
      <c r="Q22" s="44"/>
      <c r="R22" s="44"/>
      <c r="S22" s="44"/>
      <c r="T22" s="44"/>
      <c r="U22" s="44"/>
      <c r="V22" s="45"/>
    </row>
    <row r="23" spans="2:22">
      <c r="B23" s="43"/>
      <c r="C23" s="44"/>
      <c r="D23" s="47"/>
      <c r="E23" s="47"/>
      <c r="F23" s="47"/>
      <c r="G23" s="56"/>
      <c r="H23" s="1"/>
      <c r="J23" s="46"/>
      <c r="K23" s="47"/>
      <c r="L23" s="44"/>
      <c r="M23" s="44"/>
      <c r="N23" s="44"/>
      <c r="O23" s="44"/>
      <c r="P23" s="44"/>
      <c r="Q23" s="44"/>
      <c r="R23" s="44"/>
      <c r="S23" s="44"/>
      <c r="T23" s="44"/>
      <c r="U23" s="44"/>
      <c r="V23" s="45"/>
    </row>
    <row r="24" spans="2:22">
      <c r="B24" s="43"/>
      <c r="C24" s="44"/>
      <c r="D24" s="47"/>
      <c r="E24" s="47"/>
      <c r="F24" s="47"/>
      <c r="G24" s="56"/>
      <c r="H24" s="1"/>
      <c r="J24" s="46"/>
      <c r="K24" s="47"/>
      <c r="L24" s="44"/>
      <c r="M24" s="44"/>
      <c r="N24" s="44"/>
      <c r="O24" s="44"/>
      <c r="P24" s="44"/>
      <c r="Q24" s="44"/>
      <c r="R24" s="44"/>
      <c r="S24" s="44"/>
      <c r="T24" s="44"/>
      <c r="U24" s="44"/>
      <c r="V24" s="45"/>
    </row>
    <row r="25" spans="2:22">
      <c r="B25" s="43"/>
      <c r="C25" s="44"/>
      <c r="D25" s="47"/>
      <c r="E25" s="47"/>
      <c r="F25" s="47"/>
      <c r="G25" s="56"/>
      <c r="H25" s="1"/>
      <c r="J25" s="46"/>
      <c r="K25" s="47"/>
      <c r="L25" s="44"/>
      <c r="M25" s="44"/>
      <c r="N25" s="44"/>
      <c r="O25" s="44"/>
      <c r="P25" s="44"/>
      <c r="Q25" s="44"/>
      <c r="R25" s="44"/>
      <c r="S25" s="44"/>
      <c r="T25" s="44"/>
      <c r="U25" s="44"/>
      <c r="V25" s="45"/>
    </row>
    <row r="26" spans="2:22">
      <c r="B26" s="43"/>
      <c r="C26" s="44"/>
      <c r="D26" s="47"/>
      <c r="E26" s="47"/>
      <c r="F26" s="47"/>
      <c r="G26" s="56"/>
      <c r="H26" s="1"/>
      <c r="J26" s="46"/>
      <c r="K26" s="47"/>
      <c r="L26" s="44"/>
      <c r="M26" s="44"/>
      <c r="N26" s="44"/>
      <c r="O26" s="44"/>
      <c r="P26" s="44"/>
      <c r="Q26" s="44"/>
      <c r="R26" s="44"/>
      <c r="S26" s="44"/>
      <c r="T26" s="44"/>
      <c r="U26" s="44"/>
      <c r="V26" s="45"/>
    </row>
    <row r="27" spans="2:22">
      <c r="B27" s="43"/>
      <c r="C27" s="44"/>
      <c r="D27" s="47"/>
      <c r="E27" s="47"/>
      <c r="F27" s="47"/>
      <c r="G27" s="56"/>
      <c r="H27" s="1"/>
      <c r="J27" s="46"/>
      <c r="K27" s="47"/>
      <c r="L27" s="44"/>
      <c r="M27" s="44"/>
      <c r="N27" s="44"/>
      <c r="O27" s="44"/>
      <c r="P27" s="44"/>
      <c r="Q27" s="44"/>
      <c r="R27" s="44"/>
      <c r="S27" s="44"/>
      <c r="T27" s="44"/>
      <c r="U27" s="44"/>
      <c r="V27" s="45"/>
    </row>
    <row r="28" spans="2:22">
      <c r="B28" s="43"/>
      <c r="C28" s="44"/>
      <c r="D28" s="47"/>
      <c r="E28" s="47"/>
      <c r="F28" s="47"/>
      <c r="G28" s="56"/>
      <c r="H28" s="1"/>
      <c r="J28" s="46"/>
      <c r="K28" s="47"/>
      <c r="L28" s="44"/>
      <c r="M28" s="44"/>
      <c r="N28" s="44"/>
      <c r="O28" s="44"/>
      <c r="P28" s="44"/>
      <c r="Q28" s="44"/>
      <c r="R28" s="44"/>
      <c r="S28" s="44"/>
      <c r="T28" s="44"/>
      <c r="U28" s="44"/>
      <c r="V28" s="45"/>
    </row>
    <row r="29" spans="2:22">
      <c r="B29" s="43"/>
      <c r="C29" s="44"/>
      <c r="D29" s="47"/>
      <c r="E29" s="47"/>
      <c r="F29" s="47"/>
      <c r="G29" s="56"/>
      <c r="H29" s="1"/>
      <c r="J29" s="46"/>
      <c r="K29" s="47"/>
      <c r="L29" s="44"/>
      <c r="M29" s="44"/>
      <c r="N29" s="44"/>
      <c r="O29" s="44"/>
      <c r="P29" s="44"/>
      <c r="Q29" s="44"/>
      <c r="R29" s="44"/>
      <c r="S29" s="44"/>
      <c r="T29" s="44"/>
      <c r="U29" s="44"/>
      <c r="V29" s="45"/>
    </row>
    <row r="30" spans="2:22">
      <c r="B30" s="43"/>
      <c r="C30" s="44"/>
      <c r="D30" s="47"/>
      <c r="E30" s="47"/>
      <c r="F30" s="47"/>
      <c r="G30" s="56"/>
      <c r="H30" s="1"/>
      <c r="J30" s="46"/>
      <c r="K30" s="47"/>
      <c r="L30" s="44"/>
      <c r="M30" s="44"/>
      <c r="N30" s="44"/>
      <c r="O30" s="44"/>
      <c r="P30" s="44"/>
      <c r="Q30" s="44"/>
      <c r="R30" s="44"/>
      <c r="S30" s="44"/>
      <c r="T30" s="44"/>
      <c r="U30" s="44"/>
      <c r="V30" s="45"/>
    </row>
    <row r="31" spans="2:22">
      <c r="B31" s="43"/>
      <c r="C31" s="44"/>
      <c r="D31" s="47"/>
      <c r="E31" s="47"/>
      <c r="F31" s="47"/>
      <c r="G31" s="56"/>
      <c r="H31" s="1"/>
      <c r="J31" s="46"/>
      <c r="K31" s="47"/>
      <c r="L31" s="44"/>
      <c r="M31" s="44"/>
      <c r="N31" s="44"/>
      <c r="O31" s="44"/>
      <c r="P31" s="44"/>
      <c r="Q31" s="44"/>
      <c r="R31" s="44"/>
      <c r="S31" s="44"/>
      <c r="T31" s="44"/>
      <c r="U31" s="44"/>
      <c r="V31" s="45"/>
    </row>
    <row r="32" spans="2:22">
      <c r="B32" s="43"/>
      <c r="C32" s="44"/>
      <c r="D32" s="47"/>
      <c r="E32" s="47"/>
      <c r="F32" s="47"/>
      <c r="G32" s="56"/>
      <c r="H32" s="1"/>
      <c r="J32" s="46"/>
      <c r="K32" s="47"/>
      <c r="L32" s="44"/>
      <c r="M32" s="44"/>
      <c r="N32" s="44"/>
      <c r="O32" s="44"/>
      <c r="P32" s="44"/>
      <c r="Q32" s="44"/>
      <c r="R32" s="44"/>
      <c r="S32" s="44"/>
      <c r="T32" s="44"/>
      <c r="U32" s="44"/>
      <c r="V32" s="45"/>
    </row>
    <row r="33" spans="2:22" ht="15.75" thickBot="1">
      <c r="B33" s="57"/>
      <c r="C33" s="50"/>
      <c r="D33" s="49"/>
      <c r="E33" s="49"/>
      <c r="F33" s="49"/>
      <c r="G33" s="58"/>
      <c r="H33" s="1"/>
      <c r="J33" s="48"/>
      <c r="K33" s="49"/>
      <c r="L33" s="50"/>
      <c r="M33" s="50"/>
      <c r="N33" s="50"/>
      <c r="O33" s="50"/>
      <c r="P33" s="50"/>
      <c r="Q33" s="50"/>
      <c r="R33" s="50"/>
      <c r="S33" s="50"/>
      <c r="T33" s="50"/>
      <c r="U33" s="50"/>
      <c r="V33" s="51"/>
    </row>
    <row r="35" spans="2:22" ht="15.75" thickBot="1"/>
    <row r="36" spans="2:22" ht="22.9" thickBot="1">
      <c r="B36" s="106" t="s">
        <v>3</v>
      </c>
      <c r="C36" s="107"/>
      <c r="J36" s="106" t="s">
        <v>19</v>
      </c>
      <c r="K36" s="107"/>
      <c r="L36" s="33"/>
    </row>
    <row r="37" spans="2:22" ht="22.25" customHeight="1">
      <c r="B37" s="60" t="s">
        <v>36</v>
      </c>
      <c r="C37" s="36">
        <v>350</v>
      </c>
      <c r="H37" s="68"/>
      <c r="J37" s="60" t="s">
        <v>31</v>
      </c>
      <c r="K37" s="36">
        <v>200</v>
      </c>
    </row>
    <row r="38" spans="2:22" ht="22.25" customHeight="1">
      <c r="B38" s="61" t="s">
        <v>38</v>
      </c>
      <c r="C38" s="35">
        <v>0</v>
      </c>
      <c r="H38" s="68"/>
      <c r="J38" s="61" t="s">
        <v>29</v>
      </c>
      <c r="K38" s="35">
        <v>6000</v>
      </c>
      <c r="M38" s="108"/>
      <c r="N38" s="108"/>
    </row>
    <row r="39" spans="2:22" ht="22.25" customHeight="1">
      <c r="B39" s="61" t="s">
        <v>39</v>
      </c>
      <c r="C39" s="35">
        <v>1000</v>
      </c>
      <c r="H39" s="68"/>
      <c r="J39" s="61" t="s">
        <v>30</v>
      </c>
      <c r="K39" s="35">
        <v>1500</v>
      </c>
    </row>
    <row r="40" spans="2:22" ht="22.25" customHeight="1">
      <c r="B40" s="61" t="s">
        <v>40</v>
      </c>
      <c r="C40" s="35">
        <v>0</v>
      </c>
      <c r="H40" s="68"/>
      <c r="J40" s="61" t="s">
        <v>32</v>
      </c>
      <c r="K40" s="35">
        <v>0</v>
      </c>
    </row>
    <row r="41" spans="2:22" ht="22.25" customHeight="1" thickBot="1">
      <c r="B41" s="61" t="s">
        <v>37</v>
      </c>
      <c r="C41" s="59">
        <v>0</v>
      </c>
      <c r="J41" s="64" t="s">
        <v>28</v>
      </c>
      <c r="K41" s="65">
        <f>SUM(Table1[Ammount])</f>
        <v>7700</v>
      </c>
    </row>
    <row r="42" spans="2:22" ht="22.15" customHeight="1">
      <c r="B42" s="61" t="s">
        <v>34</v>
      </c>
      <c r="C42" s="59">
        <v>0</v>
      </c>
      <c r="J42" s="32"/>
      <c r="K42" s="34"/>
    </row>
    <row r="43" spans="2:22" ht="24" customHeight="1" thickBot="1">
      <c r="B43" s="62" t="s">
        <v>13</v>
      </c>
      <c r="C43" s="63">
        <f>SUM(C37:C42)</f>
        <v>1350</v>
      </c>
      <c r="J43" s="32"/>
      <c r="K43" s="34"/>
    </row>
    <row r="44" spans="2:22" ht="17.649999999999999">
      <c r="J44" s="32"/>
      <c r="K44" s="34"/>
    </row>
    <row r="45" spans="2:22" ht="17.649999999999999">
      <c r="J45" s="32"/>
      <c r="K45" s="34"/>
    </row>
    <row r="46" spans="2:22" ht="17.649999999999999">
      <c r="J46" s="32"/>
      <c r="K46" s="34"/>
    </row>
    <row r="47" spans="2:22" ht="17.649999999999999">
      <c r="J47" s="32"/>
      <c r="K47" s="34"/>
    </row>
    <row r="48" spans="2:22" ht="17.649999999999999">
      <c r="J48" s="32"/>
      <c r="K48" s="34"/>
    </row>
    <row r="49" spans="10:14" ht="17.649999999999999">
      <c r="J49" s="32"/>
      <c r="K49" s="34"/>
    </row>
    <row r="50" spans="10:14" ht="17.649999999999999">
      <c r="J50" s="32"/>
      <c r="K50" s="34"/>
    </row>
    <row r="51" spans="10:14" ht="17.649999999999999">
      <c r="J51" s="32"/>
      <c r="K51" s="34"/>
    </row>
    <row r="52" spans="10:14" ht="21">
      <c r="J52" s="32"/>
      <c r="K52" s="34"/>
      <c r="M52" s="108"/>
      <c r="N52" s="108"/>
    </row>
    <row r="53" spans="10:14" ht="17.649999999999999">
      <c r="J53" s="32"/>
      <c r="K53" s="34"/>
    </row>
    <row r="54" spans="10:14" ht="17.649999999999999">
      <c r="J54" s="32"/>
      <c r="K54" s="34"/>
    </row>
    <row r="55" spans="10:14" ht="17.649999999999999">
      <c r="J55" s="32"/>
      <c r="K55" s="34"/>
    </row>
    <row r="56" spans="10:14" ht="17.649999999999999">
      <c r="J56" s="32"/>
      <c r="K56" s="34"/>
    </row>
    <row r="57" spans="10:14" ht="17.649999999999999">
      <c r="J57" s="32"/>
      <c r="K57" s="34"/>
    </row>
    <row r="58" spans="10:14" ht="17.649999999999999">
      <c r="J58" s="32"/>
      <c r="K58" s="32"/>
    </row>
    <row r="59" spans="10:14" ht="17.649999999999999">
      <c r="J59" s="32"/>
      <c r="K59" s="32"/>
    </row>
  </sheetData>
  <mergeCells count="11">
    <mergeCell ref="M52:N52"/>
    <mergeCell ref="J36:K36"/>
    <mergeCell ref="M8:N8"/>
    <mergeCell ref="M22:N22"/>
    <mergeCell ref="M38:N38"/>
    <mergeCell ref="E8:F8"/>
    <mergeCell ref="F22:G22"/>
    <mergeCell ref="E21:F21"/>
    <mergeCell ref="B36:C36"/>
    <mergeCell ref="A1:AA1"/>
    <mergeCell ref="A2:AA2"/>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8ABF3-2254-4FD4-BF40-FBA7A23721CE}">
  <sheetPr codeName="Sheet3"/>
  <dimension ref="A1:H6"/>
  <sheetViews>
    <sheetView zoomScale="75" zoomScaleNormal="75" workbookViewId="0">
      <selection activeCell="E8" sqref="E8"/>
    </sheetView>
  </sheetViews>
  <sheetFormatPr defaultRowHeight="14.25"/>
  <cols>
    <col min="1" max="1" width="2.3984375" style="1" customWidth="1"/>
    <col min="2" max="8" width="28.6640625" style="1" customWidth="1"/>
    <col min="9" max="16384" width="9.06640625" style="1"/>
  </cols>
  <sheetData>
    <row r="1" spans="1:8" ht="46.15" customHeight="1">
      <c r="A1" s="92" t="s">
        <v>4</v>
      </c>
      <c r="B1" s="92"/>
      <c r="C1" s="92"/>
      <c r="D1" s="92"/>
      <c r="E1" s="92"/>
      <c r="F1" s="92"/>
      <c r="G1" s="92"/>
      <c r="H1" s="92"/>
    </row>
    <row r="2" spans="1:8" ht="69.75" customHeight="1">
      <c r="A2" s="93" t="s">
        <v>2</v>
      </c>
      <c r="B2" s="93"/>
      <c r="C2" s="93"/>
      <c r="D2" s="93"/>
      <c r="E2" s="93"/>
      <c r="F2" s="93"/>
      <c r="G2" s="93"/>
      <c r="H2" s="93"/>
    </row>
    <row r="6" spans="1:8">
      <c r="B6" s="1">
        <f>SUM(B2:B5)</f>
        <v>0</v>
      </c>
    </row>
  </sheetData>
  <mergeCells count="2">
    <mergeCell ref="A1:H1"/>
    <mergeCell ref="A2:H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E6834-6463-4384-B492-A0F64310CEB1}">
  <sheetPr codeName="Sheet2"/>
  <dimension ref="A2:E8"/>
  <sheetViews>
    <sheetView workbookViewId="0">
      <selection activeCell="N21" sqref="N21"/>
    </sheetView>
  </sheetViews>
  <sheetFormatPr defaultRowHeight="14.25"/>
  <cols>
    <col min="1" max="1" width="23.59765625" bestFit="1" customWidth="1"/>
    <col min="2" max="2" width="9.6640625" bestFit="1" customWidth="1"/>
    <col min="4" max="4" width="24.46484375" bestFit="1" customWidth="1"/>
  </cols>
  <sheetData>
    <row r="2" spans="1:5">
      <c r="A2" t="s">
        <v>31</v>
      </c>
      <c r="B2" s="89">
        <v>200</v>
      </c>
      <c r="D2" t="s">
        <v>36</v>
      </c>
      <c r="E2" s="89">
        <v>350</v>
      </c>
    </row>
    <row r="3" spans="1:5">
      <c r="A3" t="s">
        <v>29</v>
      </c>
      <c r="B3" s="89">
        <v>6000</v>
      </c>
      <c r="D3" t="s">
        <v>38</v>
      </c>
      <c r="E3" s="89">
        <v>0</v>
      </c>
    </row>
    <row r="4" spans="1:5">
      <c r="A4" t="s">
        <v>30</v>
      </c>
      <c r="B4" s="89">
        <v>1500</v>
      </c>
      <c r="D4" t="s">
        <v>39</v>
      </c>
      <c r="E4" s="89">
        <v>1000</v>
      </c>
    </row>
    <row r="5" spans="1:5">
      <c r="A5" t="s">
        <v>32</v>
      </c>
      <c r="B5" s="89">
        <v>0</v>
      </c>
      <c r="D5" t="s">
        <v>40</v>
      </c>
      <c r="E5" s="89">
        <v>0</v>
      </c>
    </row>
    <row r="6" spans="1:5">
      <c r="A6" t="s">
        <v>58</v>
      </c>
      <c r="B6" s="89">
        <f>SUM(B2:B5)</f>
        <v>7700</v>
      </c>
      <c r="D6" t="s">
        <v>37</v>
      </c>
      <c r="E6" s="89">
        <v>0</v>
      </c>
    </row>
    <row r="7" spans="1:5">
      <c r="D7" t="s">
        <v>34</v>
      </c>
      <c r="E7" s="89">
        <v>0</v>
      </c>
    </row>
    <row r="8" spans="1:5">
      <c r="D8" t="s">
        <v>13</v>
      </c>
      <c r="E8" s="89">
        <f>SUM(E2:E7)</f>
        <v>1350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35929-5DFF-49FB-8785-7ACEE230CCA1}">
  <sheetPr codeName="Sheet6"/>
  <dimension ref="A1:H35"/>
  <sheetViews>
    <sheetView zoomScale="75" zoomScaleNormal="75" workbookViewId="0">
      <selection activeCell="F37" sqref="F37"/>
    </sheetView>
  </sheetViews>
  <sheetFormatPr defaultRowHeight="13.5"/>
  <cols>
    <col min="1" max="1" width="1.9296875" style="2" customWidth="1"/>
    <col min="2" max="2" width="35.796875" style="2" bestFit="1" customWidth="1"/>
    <col min="3" max="3" width="33.265625" style="2" bestFit="1" customWidth="1"/>
    <col min="4" max="4" width="30.59765625" style="2" customWidth="1"/>
    <col min="5" max="5" width="8.3984375" style="2" customWidth="1"/>
    <col min="6" max="6" width="35.796875" style="2" bestFit="1" customWidth="1"/>
    <col min="7" max="7" width="34.46484375" style="2" customWidth="1"/>
    <col min="8" max="8" width="46.1328125" style="2" customWidth="1"/>
    <col min="9" max="16384" width="9.06640625" style="2"/>
  </cols>
  <sheetData>
    <row r="1" spans="1:8" ht="38.65" customHeight="1">
      <c r="A1" s="92" t="s">
        <v>4</v>
      </c>
      <c r="B1" s="92"/>
      <c r="C1" s="92"/>
      <c r="D1" s="92"/>
      <c r="E1" s="92"/>
      <c r="F1" s="92"/>
      <c r="G1" s="92"/>
      <c r="H1" s="92"/>
    </row>
    <row r="2" spans="1:8" ht="69.400000000000006" customHeight="1">
      <c r="A2" s="93" t="s">
        <v>14</v>
      </c>
      <c r="B2" s="93"/>
      <c r="C2" s="93"/>
      <c r="D2" s="93"/>
      <c r="E2" s="93"/>
      <c r="F2" s="93"/>
      <c r="G2" s="93"/>
      <c r="H2" s="93"/>
    </row>
    <row r="4" spans="1:8" ht="17.649999999999999">
      <c r="B4" s="9" t="s">
        <v>18</v>
      </c>
      <c r="C4" s="8"/>
      <c r="D4" s="8"/>
      <c r="F4" s="9" t="s">
        <v>19</v>
      </c>
      <c r="G4" s="8"/>
      <c r="H4" s="8"/>
    </row>
    <row r="33" spans="6:7" ht="14.25">
      <c r="F33" s="1"/>
      <c r="G33" s="1"/>
    </row>
    <row r="34" spans="6:7" ht="14.25">
      <c r="F34" s="1"/>
      <c r="G34" s="1"/>
    </row>
    <row r="35" spans="6:7" ht="14.25">
      <c r="F35" s="1"/>
      <c r="G35" s="1"/>
    </row>
  </sheetData>
  <mergeCells count="2">
    <mergeCell ref="A1:H1"/>
    <mergeCell ref="A2:H2"/>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49668-22F7-4A88-ABD8-5624A6037C7D}">
  <sheetPr codeName="Sheet8"/>
  <dimension ref="A1:B6"/>
  <sheetViews>
    <sheetView workbookViewId="0">
      <selection activeCell="A11" sqref="A11"/>
    </sheetView>
  </sheetViews>
  <sheetFormatPr defaultRowHeight="14.25"/>
  <cols>
    <col min="1" max="1" width="12.06640625" bestFit="1" customWidth="1"/>
    <col min="2" max="2" width="15.265625" bestFit="1" customWidth="1"/>
  </cols>
  <sheetData>
    <row r="1" spans="1:2">
      <c r="A1" s="25" t="s">
        <v>7</v>
      </c>
      <c r="B1" t="s">
        <v>22</v>
      </c>
    </row>
    <row r="3" spans="1:2">
      <c r="A3" s="25" t="s">
        <v>23</v>
      </c>
      <c r="B3" t="s">
        <v>21</v>
      </c>
    </row>
    <row r="4" spans="1:2">
      <c r="A4" s="110">
        <v>45699</v>
      </c>
      <c r="B4" s="109">
        <v>2000</v>
      </c>
    </row>
    <row r="5" spans="1:2">
      <c r="A5" s="110">
        <v>45698</v>
      </c>
      <c r="B5" s="109">
        <v>200</v>
      </c>
    </row>
    <row r="6" spans="1:2">
      <c r="A6" s="26" t="s">
        <v>24</v>
      </c>
      <c r="B6" s="109">
        <v>2200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97326-A9CC-449C-8B09-BEFA4E8B4E5B}">
  <sheetPr codeName="Sheet10"/>
  <dimension ref="A1:B6"/>
  <sheetViews>
    <sheetView workbookViewId="0">
      <selection activeCell="H28" sqref="H28"/>
    </sheetView>
  </sheetViews>
  <sheetFormatPr defaultRowHeight="14.25"/>
  <cols>
    <col min="1" max="1" width="12.33203125" bestFit="1" customWidth="1"/>
    <col min="2" max="2" width="15.3984375" bestFit="1" customWidth="1"/>
  </cols>
  <sheetData>
    <row r="1" spans="1:2">
      <c r="A1" s="25" t="s">
        <v>7</v>
      </c>
      <c r="B1" t="s">
        <v>22</v>
      </c>
    </row>
    <row r="3" spans="1:2">
      <c r="A3" s="25" t="s">
        <v>23</v>
      </c>
      <c r="B3" t="s">
        <v>21</v>
      </c>
    </row>
    <row r="4" spans="1:2">
      <c r="A4" s="26" t="s">
        <v>46</v>
      </c>
      <c r="B4">
        <v>1150</v>
      </c>
    </row>
    <row r="5" spans="1:2">
      <c r="A5" s="26" t="s">
        <v>51</v>
      </c>
      <c r="B5">
        <v>200</v>
      </c>
    </row>
    <row r="6" spans="1:2">
      <c r="A6" s="26" t="s">
        <v>24</v>
      </c>
      <c r="B6">
        <v>1350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B1044182CC67D479A0D07AA871F65A3" ma:contentTypeVersion="6" ma:contentTypeDescription="Create a new document." ma:contentTypeScope="" ma:versionID="e039ba478be51864c62fed22201f7c61">
  <xsd:schema xmlns:xsd="http://www.w3.org/2001/XMLSchema" xmlns:xs="http://www.w3.org/2001/XMLSchema" xmlns:p="http://schemas.microsoft.com/office/2006/metadata/properties" xmlns:ns3="efcfb231-3fa3-4b07-9fce-a088c1f164e7" targetNamespace="http://schemas.microsoft.com/office/2006/metadata/properties" ma:root="true" ma:fieldsID="1f125fa84f7c2d3de0b4eff85905e557" ns3:_="">
    <xsd:import namespace="efcfb231-3fa3-4b07-9fce-a088c1f164e7"/>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cfb231-3fa3-4b07-9fce-a088c1f164e7"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efcfb231-3fa3-4b07-9fce-a088c1f164e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841E30-D661-486E-AF99-63F925380FA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cfb231-3fa3-4b07-9fce-a088c1f164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1EFF735-D625-4A91-91D3-D8AC1CA2884C}">
  <ds:schemaRefs>
    <ds:schemaRef ds:uri="http://www.w3.org/XML/1998/namespace"/>
    <ds:schemaRef ds:uri="efcfb231-3fa3-4b07-9fce-a088c1f164e7"/>
    <ds:schemaRef ds:uri="http://schemas.microsoft.com/office/2006/documentManagement/types"/>
    <ds:schemaRef ds:uri="http://schemas.microsoft.com/office/infopath/2007/PartnerControls"/>
    <ds:schemaRef ds:uri="http://schemas.microsoft.com/office/2006/metadata/properties"/>
    <ds:schemaRef ds:uri="http://schemas.openxmlformats.org/package/2006/metadata/core-properties"/>
    <ds:schemaRef ds:uri="http://purl.org/dc/dcmitype/"/>
    <ds:schemaRef ds:uri="http://purl.org/dc/terms/"/>
    <ds:schemaRef ds:uri="http://purl.org/dc/elements/1.1/"/>
  </ds:schemaRefs>
</ds:datastoreItem>
</file>

<file path=customXml/itemProps3.xml><?xml version="1.0" encoding="utf-8"?>
<ds:datastoreItem xmlns:ds="http://schemas.openxmlformats.org/officeDocument/2006/customXml" ds:itemID="{9F5BF1E7-AB1F-4F81-A675-581015BCADBC}">
  <ds:schemaRefs>
    <ds:schemaRef ds:uri="http://schemas.microsoft.com/sharepoint/v3/contenttype/forms"/>
  </ds:schemaRefs>
</ds:datastoreItem>
</file>

<file path=docMetadata/LabelInfo.xml><?xml version="1.0" encoding="utf-8"?>
<clbl:labelList xmlns:clbl="http://schemas.microsoft.com/office/2020/mipLabelMetadata">
  <clbl:label id="{723a5a87-f39a-4a22-9247-3fc240c01396}" enabled="0" method="" siteId="{723a5a87-f39a-4a22-9247-3fc240c0139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Dashboard</vt:lpstr>
      <vt:lpstr>Income</vt:lpstr>
      <vt:lpstr>Expenses</vt:lpstr>
      <vt:lpstr>Goals</vt:lpstr>
      <vt:lpstr>Output Dashboard</vt:lpstr>
      <vt:lpstr>Financial Advice</vt:lpstr>
      <vt:lpstr>Calculations</vt:lpstr>
      <vt:lpstr>Future Projections</vt:lpstr>
      <vt:lpstr>Income Pivot Table</vt:lpstr>
      <vt:lpstr>Expenses Pivot 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Gillian Tsoi</dc:creator>
  <cp:keywords/>
  <dc:description/>
  <cp:lastModifiedBy>Mara Phillips</cp:lastModifiedBy>
  <cp:revision/>
  <cp:lastPrinted>2025-01-30T20:43:08Z</cp:lastPrinted>
  <dcterms:created xsi:type="dcterms:W3CDTF">2021-10-13T18:04:27Z</dcterms:created>
  <dcterms:modified xsi:type="dcterms:W3CDTF">2025-01-30T20:45:57Z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0x010100AB1044182CC67D479A0D07AA871F65A3</vt:lpwstr>
  </property>
</Properties>
</file>